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tiastorres/Desktop/Nexum_Proyecto_Final/modelo/"/>
    </mc:Choice>
  </mc:AlternateContent>
  <xr:revisionPtr revIDLastSave="0" documentId="13_ncr:1_{D1106CD7-3C83-7341-A425-FDEEB73A67DA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00_Indice" sheetId="1" r:id="rId1"/>
    <sheet name="01_Supuestos" sheetId="2" r:id="rId2"/>
    <sheet name="02_Objetivos_TIR" sheetId="3" r:id="rId3"/>
    <sheet name="03_Estrategias" sheetId="4" r:id="rId4"/>
    <sheet name="04_Datos_Mensuales" sheetId="5" r:id="rId5"/>
    <sheet name="05_Markowitz" sheetId="6" r:id="rId6"/>
    <sheet name="06_Black_Litterman" sheetId="7" r:id="rId7"/>
    <sheet name="07_Benchmark_Metricas" sheetId="8" r:id="rId8"/>
    <sheet name="08_Montecarlo" sheetId="9" r:id="rId9"/>
    <sheet name="09_Validacion" sheetId="10" r:id="rId10"/>
    <sheet name="10_Bitacora_Auditori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7" l="1"/>
  <c r="I11" i="7" s="1"/>
  <c r="H10" i="7"/>
  <c r="I10" i="7" s="1"/>
  <c r="H9" i="7"/>
  <c r="I9" i="7" s="1"/>
  <c r="H8" i="7"/>
  <c r="I8" i="7" s="1"/>
  <c r="H7" i="7"/>
  <c r="I7" i="7" s="1"/>
  <c r="I6" i="7"/>
  <c r="H6" i="7"/>
  <c r="C33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H16" i="6"/>
  <c r="G16" i="6"/>
  <c r="F16" i="6"/>
  <c r="E16" i="6"/>
  <c r="D16" i="6"/>
  <c r="C16" i="6"/>
  <c r="H15" i="6"/>
  <c r="G15" i="6"/>
  <c r="F15" i="6"/>
  <c r="E15" i="6"/>
  <c r="D15" i="6"/>
  <c r="C15" i="6"/>
  <c r="D11" i="6"/>
  <c r="C11" i="7" s="1"/>
  <c r="C11" i="6"/>
  <c r="D10" i="6"/>
  <c r="C10" i="7" s="1"/>
  <c r="C10" i="6"/>
  <c r="D9" i="6"/>
  <c r="C9" i="7" s="1"/>
  <c r="C9" i="6"/>
  <c r="D8" i="6"/>
  <c r="C8" i="7" s="1"/>
  <c r="C8" i="6"/>
  <c r="D7" i="6"/>
  <c r="C7" i="7" s="1"/>
  <c r="D7" i="7" s="1"/>
  <c r="C7" i="6"/>
  <c r="D6" i="6"/>
  <c r="C6" i="7" s="1"/>
  <c r="C6" i="6"/>
  <c r="I63" i="3"/>
  <c r="H63" i="3"/>
  <c r="G63" i="3"/>
  <c r="F63" i="3"/>
  <c r="J63" i="3" s="1"/>
  <c r="D63" i="3"/>
  <c r="E63" i="3" s="1"/>
  <c r="K63" i="3" s="1"/>
  <c r="C63" i="3"/>
  <c r="I62" i="3"/>
  <c r="H62" i="3"/>
  <c r="G62" i="3"/>
  <c r="F62" i="3"/>
  <c r="D62" i="3"/>
  <c r="C62" i="3"/>
  <c r="I61" i="3"/>
  <c r="H61" i="3"/>
  <c r="G61" i="3"/>
  <c r="F61" i="3"/>
  <c r="D61" i="3"/>
  <c r="C61" i="3"/>
  <c r="E61" i="3" s="1"/>
  <c r="I60" i="3"/>
  <c r="H60" i="3"/>
  <c r="G60" i="3"/>
  <c r="F60" i="3"/>
  <c r="D60" i="3"/>
  <c r="E60" i="3" s="1"/>
  <c r="C60" i="3"/>
  <c r="I59" i="3"/>
  <c r="H59" i="3"/>
  <c r="G59" i="3"/>
  <c r="J59" i="3" s="1"/>
  <c r="F59" i="3"/>
  <c r="D59" i="3"/>
  <c r="C59" i="3"/>
  <c r="E59" i="3" s="1"/>
  <c r="I58" i="3"/>
  <c r="H58" i="3"/>
  <c r="G58" i="3"/>
  <c r="F58" i="3"/>
  <c r="J58" i="3" s="1"/>
  <c r="D58" i="3"/>
  <c r="C58" i="3"/>
  <c r="E58" i="3" s="1"/>
  <c r="I57" i="3"/>
  <c r="H57" i="3"/>
  <c r="G57" i="3"/>
  <c r="F57" i="3"/>
  <c r="D57" i="3"/>
  <c r="C57" i="3"/>
  <c r="E57" i="3" s="1"/>
  <c r="I56" i="3"/>
  <c r="H56" i="3"/>
  <c r="G56" i="3"/>
  <c r="F56" i="3"/>
  <c r="J56" i="3" s="1"/>
  <c r="D56" i="3"/>
  <c r="C56" i="3"/>
  <c r="I55" i="3"/>
  <c r="H55" i="3"/>
  <c r="G55" i="3"/>
  <c r="F55" i="3"/>
  <c r="D55" i="3"/>
  <c r="C55" i="3"/>
  <c r="E55" i="3" s="1"/>
  <c r="I54" i="3"/>
  <c r="H54" i="3"/>
  <c r="G54" i="3"/>
  <c r="F54" i="3"/>
  <c r="D54" i="3"/>
  <c r="C54" i="3"/>
  <c r="I53" i="3"/>
  <c r="H53" i="3"/>
  <c r="G53" i="3"/>
  <c r="F53" i="3"/>
  <c r="J53" i="3" s="1"/>
  <c r="D53" i="3"/>
  <c r="C53" i="3"/>
  <c r="E53" i="3" s="1"/>
  <c r="I52" i="3"/>
  <c r="H52" i="3"/>
  <c r="G52" i="3"/>
  <c r="F52" i="3"/>
  <c r="J52" i="3" s="1"/>
  <c r="E52" i="3"/>
  <c r="K52" i="3" s="1"/>
  <c r="D52" i="3"/>
  <c r="C52" i="3"/>
  <c r="I51" i="3"/>
  <c r="H51" i="3"/>
  <c r="G51" i="3"/>
  <c r="F51" i="3"/>
  <c r="D51" i="3"/>
  <c r="C51" i="3"/>
  <c r="E51" i="3" s="1"/>
  <c r="I50" i="3"/>
  <c r="H50" i="3"/>
  <c r="G50" i="3"/>
  <c r="F50" i="3"/>
  <c r="J50" i="3" s="1"/>
  <c r="D50" i="3"/>
  <c r="C50" i="3"/>
  <c r="E50" i="3" s="1"/>
  <c r="I49" i="3"/>
  <c r="J49" i="3" s="1"/>
  <c r="H49" i="3"/>
  <c r="G49" i="3"/>
  <c r="F49" i="3"/>
  <c r="D49" i="3"/>
  <c r="C49" i="3"/>
  <c r="I48" i="3"/>
  <c r="H48" i="3"/>
  <c r="J48" i="3" s="1"/>
  <c r="G48" i="3"/>
  <c r="F48" i="3"/>
  <c r="D48" i="3"/>
  <c r="C48" i="3"/>
  <c r="I47" i="3"/>
  <c r="H47" i="3"/>
  <c r="G47" i="3"/>
  <c r="F47" i="3"/>
  <c r="J47" i="3" s="1"/>
  <c r="D47" i="3"/>
  <c r="C47" i="3"/>
  <c r="E47" i="3" s="1"/>
  <c r="I46" i="3"/>
  <c r="H46" i="3"/>
  <c r="G46" i="3"/>
  <c r="F46" i="3"/>
  <c r="J46" i="3" s="1"/>
  <c r="D46" i="3"/>
  <c r="E46" i="3" s="1"/>
  <c r="K46" i="3" s="1"/>
  <c r="C46" i="3"/>
  <c r="I45" i="3"/>
  <c r="H45" i="3"/>
  <c r="G45" i="3"/>
  <c r="F45" i="3"/>
  <c r="D45" i="3"/>
  <c r="C45" i="3"/>
  <c r="E45" i="3" s="1"/>
  <c r="I44" i="3"/>
  <c r="H44" i="3"/>
  <c r="G44" i="3"/>
  <c r="F44" i="3"/>
  <c r="J44" i="3" s="1"/>
  <c r="D44" i="3"/>
  <c r="C44" i="3"/>
  <c r="E44" i="3" s="1"/>
  <c r="K44" i="3" s="1"/>
  <c r="I43" i="3"/>
  <c r="H43" i="3"/>
  <c r="G43" i="3"/>
  <c r="F43" i="3"/>
  <c r="D43" i="3"/>
  <c r="C43" i="3"/>
  <c r="I42" i="3"/>
  <c r="H42" i="3"/>
  <c r="J42" i="3" s="1"/>
  <c r="G42" i="3"/>
  <c r="F42" i="3"/>
  <c r="D42" i="3"/>
  <c r="C42" i="3"/>
  <c r="E42" i="3" s="1"/>
  <c r="I41" i="3"/>
  <c r="H41" i="3"/>
  <c r="G41" i="3"/>
  <c r="F41" i="3"/>
  <c r="D41" i="3"/>
  <c r="C41" i="3"/>
  <c r="E41" i="3" s="1"/>
  <c r="I40" i="3"/>
  <c r="H40" i="3"/>
  <c r="G40" i="3"/>
  <c r="F40" i="3"/>
  <c r="J40" i="3" s="1"/>
  <c r="D40" i="3"/>
  <c r="E40" i="3" s="1"/>
  <c r="C40" i="3"/>
  <c r="I39" i="3"/>
  <c r="H39" i="3"/>
  <c r="G39" i="3"/>
  <c r="F39" i="3"/>
  <c r="D39" i="3"/>
  <c r="C39" i="3"/>
  <c r="E39" i="3" s="1"/>
  <c r="I38" i="3"/>
  <c r="G38" i="3"/>
  <c r="F38" i="3"/>
  <c r="D38" i="3"/>
  <c r="C38" i="3"/>
  <c r="I37" i="3"/>
  <c r="H37" i="3"/>
  <c r="G37" i="3"/>
  <c r="F37" i="3"/>
  <c r="D37" i="3"/>
  <c r="E37" i="3" s="1"/>
  <c r="C37" i="3"/>
  <c r="I36" i="3"/>
  <c r="H36" i="3"/>
  <c r="G36" i="3"/>
  <c r="F36" i="3"/>
  <c r="D36" i="3"/>
  <c r="C36" i="3"/>
  <c r="E36" i="3" s="1"/>
  <c r="I35" i="3"/>
  <c r="H35" i="3"/>
  <c r="G35" i="3"/>
  <c r="F35" i="3"/>
  <c r="D35" i="3"/>
  <c r="C35" i="3"/>
  <c r="E35" i="3" s="1"/>
  <c r="I34" i="3"/>
  <c r="H34" i="3"/>
  <c r="G34" i="3"/>
  <c r="F34" i="3"/>
  <c r="J34" i="3" s="1"/>
  <c r="D34" i="3"/>
  <c r="C34" i="3"/>
  <c r="I33" i="3"/>
  <c r="H33" i="3"/>
  <c r="F33" i="3"/>
  <c r="D33" i="3"/>
  <c r="C33" i="3"/>
  <c r="E33" i="3" s="1"/>
  <c r="I32" i="3"/>
  <c r="H32" i="3"/>
  <c r="F32" i="3"/>
  <c r="D32" i="3"/>
  <c r="C32" i="3"/>
  <c r="I31" i="3"/>
  <c r="H31" i="3"/>
  <c r="D31" i="3"/>
  <c r="C31" i="3"/>
  <c r="E31" i="3" s="1"/>
  <c r="I30" i="3"/>
  <c r="H30" i="3"/>
  <c r="F30" i="3"/>
  <c r="D30" i="3"/>
  <c r="E30" i="3" s="1"/>
  <c r="C30" i="3"/>
  <c r="I29" i="3"/>
  <c r="H29" i="3"/>
  <c r="G29" i="3"/>
  <c r="D29" i="3"/>
  <c r="C29" i="3"/>
  <c r="E29" i="3" s="1"/>
  <c r="I28" i="3"/>
  <c r="H28" i="3"/>
  <c r="G28" i="3"/>
  <c r="D28" i="3"/>
  <c r="E28" i="3" s="1"/>
  <c r="C28" i="3"/>
  <c r="I27" i="3"/>
  <c r="H27" i="3"/>
  <c r="G27" i="3"/>
  <c r="D27" i="3"/>
  <c r="C27" i="3"/>
  <c r="E27" i="3" s="1"/>
  <c r="I26" i="3"/>
  <c r="J26" i="3" s="1"/>
  <c r="H26" i="3"/>
  <c r="G26" i="3"/>
  <c r="F26" i="3"/>
  <c r="D26" i="3"/>
  <c r="C26" i="3"/>
  <c r="I25" i="3"/>
  <c r="H25" i="3"/>
  <c r="G25" i="3"/>
  <c r="F25" i="3"/>
  <c r="D25" i="3"/>
  <c r="C25" i="3"/>
  <c r="E25" i="3" s="1"/>
  <c r="I24" i="3"/>
  <c r="H24" i="3"/>
  <c r="G24" i="3"/>
  <c r="F24" i="3"/>
  <c r="J24" i="3" s="1"/>
  <c r="D24" i="3"/>
  <c r="C24" i="3"/>
  <c r="I23" i="3"/>
  <c r="H23" i="3"/>
  <c r="G23" i="3"/>
  <c r="F23" i="3"/>
  <c r="J23" i="3" s="1"/>
  <c r="D23" i="3"/>
  <c r="E23" i="3" s="1"/>
  <c r="K23" i="3" s="1"/>
  <c r="C23" i="3"/>
  <c r="I22" i="3"/>
  <c r="H22" i="3"/>
  <c r="G22" i="3"/>
  <c r="F22" i="3"/>
  <c r="D22" i="3"/>
  <c r="C22" i="3"/>
  <c r="I21" i="3"/>
  <c r="H21" i="3"/>
  <c r="G21" i="3"/>
  <c r="F21" i="3"/>
  <c r="D21" i="3"/>
  <c r="C21" i="3"/>
  <c r="E21" i="3" s="1"/>
  <c r="I20" i="3"/>
  <c r="H20" i="3"/>
  <c r="G20" i="3"/>
  <c r="F20" i="3"/>
  <c r="D20" i="3"/>
  <c r="E20" i="3" s="1"/>
  <c r="C20" i="3"/>
  <c r="I19" i="3"/>
  <c r="H19" i="3"/>
  <c r="G19" i="3"/>
  <c r="J19" i="3" s="1"/>
  <c r="F19" i="3"/>
  <c r="D19" i="3"/>
  <c r="C19" i="3"/>
  <c r="E19" i="3" s="1"/>
  <c r="I18" i="3"/>
  <c r="H18" i="3"/>
  <c r="G18" i="3"/>
  <c r="F18" i="3"/>
  <c r="J18" i="3" s="1"/>
  <c r="D18" i="3"/>
  <c r="C18" i="3"/>
  <c r="E18" i="3" s="1"/>
  <c r="I17" i="3"/>
  <c r="H17" i="3"/>
  <c r="G17" i="3"/>
  <c r="F17" i="3"/>
  <c r="D17" i="3"/>
  <c r="C17" i="3"/>
  <c r="E17" i="3" s="1"/>
  <c r="I16" i="3"/>
  <c r="H16" i="3"/>
  <c r="G16" i="3"/>
  <c r="F16" i="3"/>
  <c r="J16" i="3" s="1"/>
  <c r="D16" i="3"/>
  <c r="C16" i="3"/>
  <c r="I15" i="3"/>
  <c r="H15" i="3"/>
  <c r="G15" i="3"/>
  <c r="F15" i="3"/>
  <c r="D15" i="3"/>
  <c r="C15" i="3"/>
  <c r="E15" i="3" s="1"/>
  <c r="I14" i="3"/>
  <c r="H14" i="3"/>
  <c r="G14" i="3"/>
  <c r="F14" i="3"/>
  <c r="D14" i="3"/>
  <c r="C14" i="3"/>
  <c r="I13" i="3"/>
  <c r="H13" i="3"/>
  <c r="G13" i="3"/>
  <c r="F13" i="3"/>
  <c r="J13" i="3" s="1"/>
  <c r="D13" i="3"/>
  <c r="C13" i="3"/>
  <c r="E13" i="3" s="1"/>
  <c r="D33" i="2"/>
  <c r="D18" i="2"/>
  <c r="F27" i="3" s="1"/>
  <c r="D13" i="2"/>
  <c r="H38" i="3" s="1"/>
  <c r="K39" i="3" l="1"/>
  <c r="K45" i="3"/>
  <c r="K21" i="3"/>
  <c r="K40" i="3"/>
  <c r="J35" i="3"/>
  <c r="K35" i="3" s="1"/>
  <c r="K50" i="3"/>
  <c r="E22" i="3"/>
  <c r="K22" i="3" s="1"/>
  <c r="K27" i="3"/>
  <c r="E56" i="3"/>
  <c r="K56" i="3" s="1"/>
  <c r="J27" i="3"/>
  <c r="J22" i="3"/>
  <c r="E26" i="3"/>
  <c r="K26" i="3" s="1"/>
  <c r="E38" i="3"/>
  <c r="K38" i="3" s="1"/>
  <c r="J39" i="3"/>
  <c r="J41" i="3"/>
  <c r="K41" i="3" s="1"/>
  <c r="E43" i="3"/>
  <c r="K43" i="3" s="1"/>
  <c r="J45" i="3"/>
  <c r="E49" i="3"/>
  <c r="J51" i="3"/>
  <c r="K51" i="3" s="1"/>
  <c r="J62" i="3"/>
  <c r="J38" i="3"/>
  <c r="K42" i="3"/>
  <c r="C25" i="6" a="1"/>
  <c r="C25" i="6" s="1"/>
  <c r="K17" i="3"/>
  <c r="J25" i="3"/>
  <c r="E14" i="3"/>
  <c r="E54" i="3"/>
  <c r="J61" i="3"/>
  <c r="K61" i="3" s="1"/>
  <c r="E16" i="3"/>
  <c r="K16" i="3" s="1"/>
  <c r="E62" i="3"/>
  <c r="J54" i="3"/>
  <c r="J15" i="3"/>
  <c r="K15" i="3" s="1"/>
  <c r="J17" i="3"/>
  <c r="J21" i="3"/>
  <c r="E48" i="3"/>
  <c r="K48" i="3" s="1"/>
  <c r="J55" i="3"/>
  <c r="K55" i="3" s="1"/>
  <c r="J57" i="3"/>
  <c r="K57" i="3" s="1"/>
  <c r="J14" i="3"/>
  <c r="K18" i="3"/>
  <c r="J20" i="3"/>
  <c r="K20" i="3" s="1"/>
  <c r="E32" i="3"/>
  <c r="J37" i="3"/>
  <c r="K37" i="3" s="1"/>
  <c r="J43" i="3"/>
  <c r="K58" i="3"/>
  <c r="J60" i="3"/>
  <c r="K60" i="3" s="1"/>
  <c r="C28" i="6" a="1"/>
  <c r="C28" i="6" s="1"/>
  <c r="E24" i="3"/>
  <c r="K24" i="3" s="1"/>
  <c r="E34" i="3"/>
  <c r="K34" i="3" s="1"/>
  <c r="J36" i="3"/>
  <c r="C44" i="7"/>
  <c r="D8" i="7"/>
  <c r="K59" i="3"/>
  <c r="D9" i="7"/>
  <c r="K28" i="3"/>
  <c r="K49" i="3"/>
  <c r="K25" i="3"/>
  <c r="K36" i="3"/>
  <c r="D11" i="7"/>
  <c r="K14" i="3"/>
  <c r="K19" i="3"/>
  <c r="K13" i="3"/>
  <c r="K47" i="3"/>
  <c r="K53" i="3"/>
  <c r="D6" i="7"/>
  <c r="E6" i="7" s="1" a="1"/>
  <c r="D10" i="7"/>
  <c r="F28" i="3"/>
  <c r="J28" i="3" s="1"/>
  <c r="F29" i="3"/>
  <c r="J29" i="3" s="1"/>
  <c r="K29" i="3" s="1"/>
  <c r="C29" i="6" a="1"/>
  <c r="C29" i="6" s="1"/>
  <c r="C41" i="7" s="1"/>
  <c r="C24" i="6" a="1"/>
  <c r="C24" i="6" s="1"/>
  <c r="C19" i="7" a="1"/>
  <c r="F31" i="3"/>
  <c r="G32" i="3"/>
  <c r="J32" i="3" s="1"/>
  <c r="K32" i="3" s="1"/>
  <c r="G33" i="3"/>
  <c r="J33" i="3" s="1"/>
  <c r="K33" i="3" s="1"/>
  <c r="C43" i="7"/>
  <c r="G30" i="3"/>
  <c r="J30" i="3" s="1"/>
  <c r="K30" i="3" s="1"/>
  <c r="G31" i="3"/>
  <c r="K62" i="3" l="1"/>
  <c r="K54" i="3"/>
  <c r="D6" i="3"/>
  <c r="C26" i="6"/>
  <c r="E6" i="7"/>
  <c r="E11" i="7"/>
  <c r="E10" i="7"/>
  <c r="E9" i="7"/>
  <c r="E8" i="7"/>
  <c r="E7" i="7"/>
  <c r="H23" i="7"/>
  <c r="F22" i="7"/>
  <c r="D21" i="7"/>
  <c r="H19" i="7"/>
  <c r="G23" i="7"/>
  <c r="E22" i="7"/>
  <c r="C21" i="7"/>
  <c r="G19" i="7"/>
  <c r="H24" i="7"/>
  <c r="F23" i="7"/>
  <c r="D22" i="7"/>
  <c r="H20" i="7"/>
  <c r="F19" i="7"/>
  <c r="G24" i="7"/>
  <c r="E23" i="7"/>
  <c r="C22" i="7"/>
  <c r="G20" i="7"/>
  <c r="E19" i="7"/>
  <c r="F24" i="7"/>
  <c r="D23" i="7"/>
  <c r="H21" i="7"/>
  <c r="F20" i="7"/>
  <c r="D19" i="7"/>
  <c r="E24" i="7"/>
  <c r="C23" i="7"/>
  <c r="G21" i="7"/>
  <c r="E20" i="7"/>
  <c r="D24" i="7"/>
  <c r="H22" i="7"/>
  <c r="F21" i="7"/>
  <c r="D20" i="7"/>
  <c r="C19" i="7"/>
  <c r="C24" i="7"/>
  <c r="G22" i="7"/>
  <c r="E21" i="7"/>
  <c r="C20" i="7"/>
  <c r="C30" i="6"/>
  <c r="J31" i="3"/>
  <c r="K31" i="3" s="1"/>
  <c r="D8" i="3" s="1"/>
  <c r="C26" i="1" s="1"/>
  <c r="C27" i="7" l="1" a="1"/>
  <c r="D7" i="3"/>
  <c r="D9" i="3" s="1"/>
  <c r="C27" i="7" l="1"/>
  <c r="D28" i="7"/>
  <c r="C28" i="7"/>
  <c r="D27" i="7"/>
  <c r="C31" i="7" l="1" a="1"/>
  <c r="C34" i="7" l="1"/>
  <c r="F9" i="7" s="1"/>
  <c r="C33" i="7"/>
  <c r="F8" i="7" s="1"/>
  <c r="C32" i="7"/>
  <c r="F7" i="7" s="1"/>
  <c r="C31" i="7"/>
  <c r="F6" i="7" s="1"/>
  <c r="C36" i="7"/>
  <c r="F11" i="7" s="1"/>
  <c r="C35" i="7"/>
  <c r="F10" i="7" s="1"/>
  <c r="C40" i="7" l="1" a="1"/>
  <c r="C40" i="7" s="1"/>
  <c r="C42" i="7" s="1"/>
</calcChain>
</file>

<file path=xl/sharedStrings.xml><?xml version="1.0" encoding="utf-8"?>
<sst xmlns="http://schemas.openxmlformats.org/spreadsheetml/2006/main" count="580" uniqueCount="390">
  <si>
    <t>Nexum Financial Advisors — Modelo de inversión Familia Allende Cunich (v2)</t>
  </si>
  <si>
    <t>Grupo 11 · ESF 2026-2 · Datos al 31-ago-2026 · Generado 06-10-2026 con codigo/run_all.py + excel_modelo.py</t>
  </si>
  <si>
    <t>Flujo del modelo</t>
  </si>
  <si>
    <t>Hoja</t>
  </si>
  <si>
    <t>Contenido</t>
  </si>
  <si>
    <t>01_Supuestos</t>
  </si>
  <si>
    <t>Datos del cliente, objetivos, tipos de cambio, reglas de las estrategias y supuestos de mercado (todas las entradas)</t>
  </si>
  <si>
    <t>02_Objetivos_TIR</t>
  </si>
  <si>
    <t>Flujos años 0-50, TIR real requerida (fórmula IRR) y factibilidad</t>
  </si>
  <si>
    <t>03_Estrategias</t>
  </si>
  <si>
    <t>Reglas, resultados del backtest y comparación con su benchmark de cada estrategia activa</t>
  </si>
  <si>
    <t>04_Datos_Mensuales</t>
  </si>
  <si>
    <t>Retornos mensuales 2013-2026 de los 6 activos y del benchmark (salida de los backtests point-in-time)</t>
  </si>
  <si>
    <t>05_Markowitz</t>
  </si>
  <si>
    <t>Medias, volatilidades y covarianzas con fórmulas; cartera de máximo Sharpe histórico</t>
  </si>
  <si>
    <t>06_Black_Litterman</t>
  </si>
  <si>
    <t>Prior de paridad de riesgo, π implícito, vistas y μ posterior calculados con fórmulas matriciales</t>
  </si>
  <si>
    <t>07_Benchmark_Metricas</t>
  </si>
  <si>
    <t>Benchmark de política por sleeve, métricas de desempeño, tracking error ex-ante e IR</t>
  </si>
  <si>
    <t>08_Montecarlo</t>
  </si>
  <si>
    <t>Probabilidad de cumplir cada objetivo: USD y UF, histórico y prospectivo, Nexum vs AGF; palancas</t>
  </si>
  <si>
    <t>09_Validacion</t>
  </si>
  <si>
    <t>Impacto de correcciones, robustez de parámetros, walk-forward fuera de muestra y sesgos declarados</t>
  </si>
  <si>
    <t>10_Bitacora_Auditoria</t>
  </si>
  <si>
    <t>Errores encontrados en el modelo original y cómo se corrigieron</t>
  </si>
  <si>
    <t>Convención de colores</t>
  </si>
  <si>
    <t>Azul: dato de entrada editable</t>
  </si>
  <si>
    <t>Negro: fórmula</t>
  </si>
  <si>
    <t>Verde: vínculo a otra hoja</t>
  </si>
  <si>
    <t>Gris itálica: resultado calculado en Python (codigo/), reproducible con run_all.py</t>
  </si>
  <si>
    <t>Resultado principal</t>
  </si>
  <si>
    <t>TIR real requerida (enunciado)</t>
  </si>
  <si>
    <t>P(3 objetivos) histórico, USD</t>
  </si>
  <si>
    <t>P(3 objetivos) prospectivo, USD</t>
  </si>
  <si>
    <t>P(Educación) en todos los escenarios</t>
  </si>
  <si>
    <t>Supuestos y datos de entrada</t>
  </si>
  <si>
    <t>Fuente: enunciado 'Planificación Actividad de Graduación' y BCCh (11-ago-2026). Todo número del modelo nace aquí o en codigo/config.py.</t>
  </si>
  <si>
    <t>Parámetro</t>
  </si>
  <si>
    <t>Valor</t>
  </si>
  <si>
    <t>Fuente / nota</t>
  </si>
  <si>
    <t>Cliente y mercado</t>
  </si>
  <si>
    <t>Capital inicial (USD)</t>
  </si>
  <si>
    <t>Enunciado</t>
  </si>
  <si>
    <t>Reserva operativa + cambiaria</t>
  </si>
  <si>
    <t>2% caja + 2% reserva; no se invierte</t>
  </si>
  <si>
    <t>Aporte anual (USD, abril)</t>
  </si>
  <si>
    <t>Enunciado: hasta que Tomás cumpla 65</t>
  </si>
  <si>
    <t>N° de aportes</t>
  </si>
  <si>
    <t>46 → 65 años</t>
  </si>
  <si>
    <t>USD/CLP</t>
  </si>
  <si>
    <t>BCCh 11-ago-2026</t>
  </si>
  <si>
    <t>UF/CLP</t>
  </si>
  <si>
    <t>USD por UF</t>
  </si>
  <si>
    <t>Fórmula</t>
  </si>
  <si>
    <t>Inflación EE.UU. (deflactor)</t>
  </si>
  <si>
    <t>Supuesto</t>
  </si>
  <si>
    <t>Objetivos</t>
  </si>
  <si>
    <t>Arancel por hijo (CLP de hoy)</t>
  </si>
  <si>
    <t>Años de carrera</t>
  </si>
  <si>
    <t>Supuesto: 5 pagos anuales</t>
  </si>
  <si>
    <t>Pago anual por hijo (USD)</t>
  </si>
  <si>
    <t>Inicio Vicente (año)</t>
  </si>
  <si>
    <t>Enunciado ~14</t>
  </si>
  <si>
    <t>Inicio Emilia (año)</t>
  </si>
  <si>
    <t>Enunciado ~16</t>
  </si>
  <si>
    <t>Villarrica: desembolso (UF)</t>
  </si>
  <si>
    <t>Enunciado; UF 15.000 restantes vienen de la venta de la casa (fuera de la cartera)</t>
  </si>
  <si>
    <t>Año Villarrica</t>
  </si>
  <si>
    <t>Francisca cumple 65</t>
  </si>
  <si>
    <t>Herencia (USD de hoy)</t>
  </si>
  <si>
    <t>USD 250 mil por hijo</t>
  </si>
  <si>
    <t>Año herencia</t>
  </si>
  <si>
    <t>Francisca cumple 90</t>
  </si>
  <si>
    <t>Tasa real libre de riesgo</t>
  </si>
  <si>
    <t>Bono 10a EE.UU. ~5,2% − inflación implícita ~2,5%</t>
  </si>
  <si>
    <t>Asignación y gestión activa</t>
  </si>
  <si>
    <t>Núcleo pasivo mínimo</t>
  </si>
  <si>
    <t>Política</t>
  </si>
  <si>
    <t>Núcleo pasivo máximo</t>
  </si>
  <si>
    <t>δ aversión al riesgo (BL)</t>
  </si>
  <si>
    <t>Black y Litterman (1992); ver A implícito en 06</t>
  </si>
  <si>
    <t>τ incertidumbre del prior (BL)</t>
  </si>
  <si>
    <t>He y Litterman (1999)</t>
  </si>
  <si>
    <t>Alfa objetivo anual</t>
  </si>
  <si>
    <t>Presupuesto de riesgo activo</t>
  </si>
  <si>
    <t>Information ratio objetivo</t>
  </si>
  <si>
    <t>Grinold y Kahn: 0,5 = bueno</t>
  </si>
  <si>
    <t>TE objetivo = alfa / IR</t>
  </si>
  <si>
    <t>TE máximo</t>
  </si>
  <si>
    <t>Alfa 2% con IR 0,5</t>
  </si>
  <si>
    <t>Costo de transacción por lado</t>
  </si>
  <si>
    <t>Sobre el monto transado</t>
  </si>
  <si>
    <t>Reglas de las estrategias activas</t>
  </si>
  <si>
    <t>Estrategia</t>
  </si>
  <si>
    <t>Elemento</t>
  </si>
  <si>
    <t>Regla</t>
  </si>
  <si>
    <t>Momentum en acciones</t>
  </si>
  <si>
    <t>Universo</t>
  </si>
  <si>
    <t>S&amp;P 500 point-in-time</t>
  </si>
  <si>
    <t>Filtros</t>
  </si>
  <si>
    <t>r3m &gt; 0%, r6m &gt; 5%, r12m &gt; 10%, precio &gt; media 200d, liquidez ≥ USD 5M/día, Sharpe 12m ≥ 0,5 (vol. 12 meses)</t>
  </si>
  <si>
    <t>Ranking</t>
  </si>
  <si>
    <t>50% percentil r6m + 50% percentil r12m</t>
  </si>
  <si>
    <t>Cartera</t>
  </si>
  <si>
    <t>Top 10, peso igual, máx. 25% por sector GICS; mensual</t>
  </si>
  <si>
    <t>Low-Volatility</t>
  </si>
  <si>
    <t>S&amp;P 500 point-in-time; precio ≥ USD 5; liquidez ≥ USD 5M/día</t>
  </si>
  <si>
    <t>Menor volatilidad realizada 12 meses</t>
  </si>
  <si>
    <t>Momentum en commodities</t>
  </si>
  <si>
    <t>GLD, USO, DBA, SLV, CPER</t>
  </si>
  <si>
    <t>r3m &gt; 5%, r6m &gt; 8%, r12m &gt; 10%, precio &gt; media 200d, vol. 12m &lt; 50%</t>
  </si>
  <si>
    <t>Todos los que califican, peso igual; sin señal → T-Bills; mensual</t>
  </si>
  <si>
    <t>Comunes</t>
  </si>
  <si>
    <t>Ejecución</t>
  </si>
  <si>
    <t>Señal al cierre del mes t, retorno desde t+1 (sin anticipación); costo 0,1% por lado</t>
  </si>
  <si>
    <t>Supuestos de mercado prospectivos (retornos reales anuales)</t>
  </si>
  <si>
    <t>Activo</t>
  </si>
  <si>
    <t>Retorno real anual supuesto</t>
  </si>
  <si>
    <t>SPY</t>
  </si>
  <si>
    <t>TLH</t>
  </si>
  <si>
    <t>VCLT</t>
  </si>
  <si>
    <t>MOM_CMD</t>
  </si>
  <si>
    <t>MOM_EQ</t>
  </si>
  <si>
    <t>LOW_VOL</t>
  </si>
  <si>
    <t>EFA</t>
  </si>
  <si>
    <t>BONOS_GLOBAL</t>
  </si>
  <si>
    <t>Objetivos, flujos y TIR real requerida</t>
  </si>
  <si>
    <t>USD reales de hoy. Entradas positivas, desembolsos negativos. Fórmulas vinculadas a 01_Supuestos.</t>
  </si>
  <si>
    <t>Indicador</t>
  </si>
  <si>
    <t>Escenarios de TIR (Python, objetivos.py)</t>
  </si>
  <si>
    <t>VP recursos a tasa libre de riesgo</t>
  </si>
  <si>
    <t>Escenario</t>
  </si>
  <si>
    <t>TIR real requerida</t>
  </si>
  <si>
    <t>VP objetivos a tasa libre de riesgo</t>
  </si>
  <si>
    <t>Base: flujos del enunciado (19 aportes reales)</t>
  </si>
  <si>
    <t>TIR real requerida (IRR de los flujos netos)</t>
  </si>
  <si>
    <t>14 aportes efectivos (riesgo de empleo)</t>
  </si>
  <si>
    <t>Cobertura (recursos / objetivos)</t>
  </si>
  <si>
    <t>Aportes en USD nominales (inflación 2,5%)</t>
  </si>
  <si>
    <t>Arancel crece 2% real anual</t>
  </si>
  <si>
    <t>Aportes nominales + arancel +2% real</t>
  </si>
  <si>
    <t>Año</t>
  </si>
  <si>
    <t>Capital</t>
  </si>
  <si>
    <t>Aporte</t>
  </si>
  <si>
    <t>Entradas</t>
  </si>
  <si>
    <t>Educ. Vicente</t>
  </si>
  <si>
    <t>Educ. Emilia</t>
  </si>
  <si>
    <t>Villarrica</t>
  </si>
  <si>
    <t>Herencia</t>
  </si>
  <si>
    <t>Salidas</t>
  </si>
  <si>
    <t>Flujo neto</t>
  </si>
  <si>
    <t>Lo anterior con 14 aportes</t>
  </si>
  <si>
    <t>Palanca: herencia USD 250 mil</t>
  </si>
  <si>
    <t>Palanca: Villarrica -25%</t>
  </si>
  <si>
    <t>Palanca: ambas</t>
  </si>
  <si>
    <t>Plan de desembolsos</t>
  </si>
  <si>
    <t>Concepto</t>
  </si>
  <si>
    <t>USD reales</t>
  </si>
  <si>
    <t>UF</t>
  </si>
  <si>
    <t>CLP de hoy</t>
  </si>
  <si>
    <t>Educación</t>
  </si>
  <si>
    <t>Villarrica (desembolso; UF 15.000 adicionales vienen de la venta de la casa, fuera de la cartera)</t>
  </si>
  <si>
    <t>Herencia (USD 250 mil por hijo)</t>
  </si>
  <si>
    <t>Nota: no se usa la venta de la casa de Santiago más allá de las UF 15.000 que el enunciado asigna a Villarrica.</t>
  </si>
  <si>
    <t>Estrategias activas: resultados y comparación con su benchmark</t>
  </si>
  <si>
    <t>Backtests point-in-time (codigo/estrategias.py). Métricas vs T-Bills (BIL).</t>
  </si>
  <si>
    <t>Benchmark</t>
  </si>
  <si>
    <t>CAGR</t>
  </si>
  <si>
    <t>Volatilidad</t>
  </si>
  <si>
    <t>Sharpe</t>
  </si>
  <si>
    <t>Sortino</t>
  </si>
  <si>
    <t>Beta</t>
  </si>
  <si>
    <t>Alfa CAPM</t>
  </si>
  <si>
    <t>Máx. caída</t>
  </si>
  <si>
    <t>VaR 95% mensual</t>
  </si>
  <si>
    <t>CVaR 95% mensual</t>
  </si>
  <si>
    <t>Tracking error</t>
  </si>
  <si>
    <t>Information ratio</t>
  </si>
  <si>
    <t>QMOM</t>
  </si>
  <si>
    <t>Momentum en acciones (2013-2026)</t>
  </si>
  <si>
    <t>—</t>
  </si>
  <si>
    <t>SPLV</t>
  </si>
  <si>
    <t>Low-Volatility (2013-2026)</t>
  </si>
  <si>
    <t>MEZCLA_CMD</t>
  </si>
  <si>
    <t>Momentum en commodities (2013-2026)</t>
  </si>
  <si>
    <t>Retornos mensuales nominales en USD (ene-2013 a ago-2026, 164 meses)</t>
  </si>
  <si>
    <t>Fuente: backtests point-in-time (estrategias activas) y Yahoo Finance ajustado por dividendos (ETF).</t>
  </si>
  <si>
    <t>Fecha</t>
  </si>
  <si>
    <t>BM_SPY</t>
  </si>
  <si>
    <t>BM_TLH</t>
  </si>
  <si>
    <t>BM_VCLT</t>
  </si>
  <si>
    <t>BM_MOM_CMD</t>
  </si>
  <si>
    <t>BM_MOM_EQ</t>
  </si>
  <si>
    <t>BM_LOW_VOL</t>
  </si>
  <si>
    <t>Markowitz: estadísticos con fórmulas y cartera de máximo Sharpe histórico</t>
  </si>
  <si>
    <t>Referencia: optimizar con medias históricas sobreajusta (ver walk-forward en 09). La recomendación es Black-Litterman (06).</t>
  </si>
  <si>
    <t>Retorno anual</t>
  </si>
  <si>
    <t>Volatilidad anual</t>
  </si>
  <si>
    <t>Peso Markowitz (máx. Sharpe, SLSQP)</t>
  </si>
  <si>
    <t>Peso aprobado (BL)</t>
  </si>
  <si>
    <t>S&amp;P 500 (SPY)</t>
  </si>
  <si>
    <t>Tesoro EE.UU. 10-20 años (TLH)</t>
  </si>
  <si>
    <t>Corporativos largo plazo (VCLT)</t>
  </si>
  <si>
    <t>Matriz de covarianza anual (fórmulas COVARIANCE.S)</t>
  </si>
  <si>
    <t>Tesoro EE.UU. 10-20 añ</t>
  </si>
  <si>
    <t>Corporativos largo pla</t>
  </si>
  <si>
    <t>Momentum en commoditie</t>
  </si>
  <si>
    <t>Cartera Markowitz</t>
  </si>
  <si>
    <t>Sharpe (rf = 0, misma convención del optimizador)</t>
  </si>
  <si>
    <t>Cartera Pesos aprobados</t>
  </si>
  <si>
    <t>Restricciones: suma = 100%; núcleo (SPY+TLH+VCLT) entre 60% y 70%; TLH y VCLT ≥ 8%; sin ventas cortas.</t>
  </si>
  <si>
    <t>Chequeo núcleo Markowitz</t>
  </si>
  <si>
    <t>Black-Litterman: equilibrio + vistas → retornos esperados y cartera recomendada</t>
  </si>
  <si>
    <t>π = δ·Σ·w_eq ; μ_BL = [(τΣ)⁻¹ + PᵀΩ⁻¹P]⁻¹ [(τΣ)⁻¹π + PᵀΩ⁻¹Q] ; Ω = diag(P·τΣ·Pᵀ). Fórmulas matriciales vivas.</t>
  </si>
  <si>
    <t>Prior w_eq (1/vol normalizado)</t>
  </si>
  <si>
    <t>π implícito</t>
  </si>
  <si>
    <t>μ Black-Litterman</t>
  </si>
  <si>
    <t>Peso BL recalibrado (SLSQP)</t>
  </si>
  <si>
    <t>Peso aprobado</t>
  </si>
  <si>
    <t>Diferencia (pp)</t>
  </si>
  <si>
    <t>Vistas del inversionista</t>
  </si>
  <si>
    <t>Vista</t>
  </si>
  <si>
    <t>Tipo</t>
  </si>
  <si>
    <t>Q (retorno)</t>
  </si>
  <si>
    <t>Fundamento</t>
  </si>
  <si>
    <t>Vista 1</t>
  </si>
  <si>
    <t>Absoluta</t>
  </si>
  <si>
    <t>Prima por riesgo accionaria de largo plazo</t>
  </si>
  <si>
    <t>Vista 2</t>
  </si>
  <si>
    <t>Relativa</t>
  </si>
  <si>
    <t>Low-Vol supera a commodities en 2 pp</t>
  </si>
  <si>
    <t>τΣ</t>
  </si>
  <si>
    <t>Ω (diagonal)</t>
  </si>
  <si>
    <t>μ_BL calculado</t>
  </si>
  <si>
    <t>Cartera recomendada (pesos aprobados)</t>
  </si>
  <si>
    <t>Retorno esperado (μ_BL)</t>
  </si>
  <si>
    <t>Sharpe sobre μ_BL</t>
  </si>
  <si>
    <t>Núcleo pasivo (SPY+TLH+VCLT)</t>
  </si>
  <si>
    <t>Chequeo: Σ pesos = 100%</t>
  </si>
  <si>
    <t>Lectura: los pesos recalibrados con los datos corregidos difieren en menos de 0,7 pp de los aprobados (dentro de la banda de rebalanceo de ±2 pp): se mantienen los pesos aprobados, que ya están implementados.</t>
  </si>
  <si>
    <t>Aversión al riesgo</t>
  </si>
  <si>
    <t>A del inversionista de mercado (S&amp;P 500, 2013-2026)</t>
  </si>
  <si>
    <t>A implícito de la cartera BL (μ_BL / σ²)</t>
  </si>
  <si>
    <t>δ usado en Black-Litterman</t>
  </si>
  <si>
    <t>Benchmark de política, métricas y tracking error</t>
  </si>
  <si>
    <t>Benchmark compuesto en USD, ponderado por los pesos aprobados; cada sleeve contra un índice invertible de su mismo universo.</t>
  </si>
  <si>
    <t>Sleeve</t>
  </si>
  <si>
    <t>Peso</t>
  </si>
  <si>
    <t>ICE U.S. Treasury 10-20 Year (TLH)</t>
  </si>
  <si>
    <t>Bloomberg U.S. Long Corporate (VCLT)</t>
  </si>
  <si>
    <t>Mezcla igual ponderada GLD/USO/DBA/SLV/CPER</t>
  </si>
  <si>
    <t>Alpha Architect U.S. Quantitative Momentum (QMOM)</t>
  </si>
  <si>
    <t>S&amp;P 500 Low Volatility Index (SPLV)</t>
  </si>
  <si>
    <t>Métricas (USD nominal; Sharpe vs T-Bills)</t>
  </si>
  <si>
    <t>Período</t>
  </si>
  <si>
    <t>Serie</t>
  </si>
  <si>
    <t>Treynor</t>
  </si>
  <si>
    <t>Calmar</t>
  </si>
  <si>
    <t>2016-2026</t>
  </si>
  <si>
    <t>Cartera Nexum</t>
  </si>
  <si>
    <t>Benchmark de política</t>
  </si>
  <si>
    <t>Cartera actual AGF 85/15</t>
  </si>
  <si>
    <t>2013-2026</t>
  </si>
  <si>
    <t>Tracking error: derivación y situación actual</t>
  </si>
  <si>
    <t>TE ex-ante, pesos aprobados (2016-2026)</t>
  </si>
  <si>
    <t>TE últimos 36 meses</t>
  </si>
  <si>
    <t>TE máximo (alfa 2% / IR 0,5)</t>
  </si>
  <si>
    <t>TE del sleeve S&amp;P 500 (SPY) vs su benchmark</t>
  </si>
  <si>
    <t>TE del sleeve Tesoro EE.UU. 10-20 años (TLH) vs su benchmark</t>
  </si>
  <si>
    <t>TE del sleeve Corporativos largo plazo (VCLT) vs su benchmark</t>
  </si>
  <si>
    <t>TE del sleeve Momentum en commodities vs su benchmark</t>
  </si>
  <si>
    <t>TE del sleeve Momentum en acciones vs su benchmark</t>
  </si>
  <si>
    <t>TE del sleeve Low-Volatility vs su benchmark</t>
  </si>
  <si>
    <t>Montecarlo: probabilidad de cumplir los objetivos (20.000 escenarios, 50 años)</t>
  </si>
  <si>
    <t>Bootstrap mensual. Prospectivo: misma volatilidad y correlaciones, medias ajustadas a supuestos de mercado. UF: tipo de cambio real sin tendencia, con su volatilidad y correlación histórica.</t>
  </si>
  <si>
    <t>Moneda</t>
  </si>
  <si>
    <t>Retorno real anual</t>
  </si>
  <si>
    <t>P(Educación)</t>
  </si>
  <si>
    <t>P(Villarrica)</t>
  </si>
  <si>
    <t>P(Herencia)</t>
  </si>
  <si>
    <t>P(3 objetivos)</t>
  </si>
  <si>
    <t>Saldo año 25 P10</t>
  </si>
  <si>
    <t>Saldo año 25 P50</t>
  </si>
  <si>
    <t>Saldo año 25 P90</t>
  </si>
  <si>
    <t>Saldo año 50 P10</t>
  </si>
  <si>
    <t>Saldo año 50 P50</t>
  </si>
  <si>
    <t>Máx. caída mediana</t>
  </si>
  <si>
    <t>Máx. caída peor 5%</t>
  </si>
  <si>
    <t>Unidad</t>
  </si>
  <si>
    <t>Nexum</t>
  </si>
  <si>
    <t>Histórico 2013-2026</t>
  </si>
  <si>
    <t>USD</t>
  </si>
  <si>
    <t>Prospectivo</t>
  </si>
  <si>
    <t>AGF 85/15</t>
  </si>
  <si>
    <t>Palancas acordables con el cliente (escenario prospectivo, USD)</t>
  </si>
  <si>
    <t>Palanca (prospectivo, USD)</t>
  </si>
  <si>
    <t>Base</t>
  </si>
  <si>
    <t>Herencia USD 250 mil</t>
  </si>
  <si>
    <t>Villarrica -25%</t>
  </si>
  <si>
    <t>Ambas</t>
  </si>
  <si>
    <t>Validación: correcciones, robustez y prueba fuera de muestra</t>
  </si>
  <si>
    <t>Impacto de las correcciones sobre el modelo original</t>
  </si>
  <si>
    <t>Versión</t>
  </si>
  <si>
    <t>Meses</t>
  </si>
  <si>
    <t>CAGR Momentum</t>
  </si>
  <si>
    <t>CAGR Low-Vol</t>
  </si>
  <si>
    <t>CAGR Commodities</t>
  </si>
  <si>
    <t>Cartera (pesos aprobados) CAGR</t>
  </si>
  <si>
    <t>Cartera Sharpe</t>
  </si>
  <si>
    <t>Cartera máx. caída</t>
  </si>
  <si>
    <t>BL SPY</t>
  </si>
  <si>
    <t>BL TLH</t>
  </si>
  <si>
    <t>BL VCLT</t>
  </si>
  <si>
    <t>BL MOM_CMD</t>
  </si>
  <si>
    <t>BL MOM_EQ</t>
  </si>
  <si>
    <t>BL LOW_VOL</t>
  </si>
  <si>
    <t>Modelo original (162 meses, vol. 1 mes)</t>
  </si>
  <si>
    <t>+ incluye jul y dic 2018 (dato faltante corregido)</t>
  </si>
  <si>
    <t>+ filtro de Sharpe con vol. 12 meses (versión vigente)</t>
  </si>
  <si>
    <t>Sensibilidad: costos en ambos lados</t>
  </si>
  <si>
    <t>Robustez de parámetros (un cambio a la vez; backtest completo)</t>
  </si>
  <si>
    <t>Variante</t>
  </si>
  <si>
    <t>Sharpe 2013-2019</t>
  </si>
  <si>
    <t>Sharpe 2020-2026</t>
  </si>
  <si>
    <t>Momentum</t>
  </si>
  <si>
    <t>BASE (vigente)</t>
  </si>
  <si>
    <t>Sin filtros absolutos (solo ranking)</t>
  </si>
  <si>
    <t>Umbrales x2 (r6&gt;10%, r12&gt;20%)</t>
  </si>
  <si>
    <t>Sin filtro de Sharpe</t>
  </si>
  <si>
    <t>Top 15</t>
  </si>
  <si>
    <t>Top 20</t>
  </si>
  <si>
    <t>Límite sectorial 30%</t>
  </si>
  <si>
    <t>Sin límite sectorial</t>
  </si>
  <si>
    <t>Commodities</t>
  </si>
  <si>
    <t>BASE (vigente, 5 ETF)</t>
  </si>
  <si>
    <t>Universo original 3 ETF (GLD, USO, DBA)</t>
  </si>
  <si>
    <t>Umbrales a la mitad</t>
  </si>
  <si>
    <t>Umbrales en cero (solo tendencia)</t>
  </si>
  <si>
    <t>Sin límite de volatilidad</t>
  </si>
  <si>
    <t>Walk-forward: calibrar con 2013-2019, evaluar 2020-2026</t>
  </si>
  <si>
    <t>w SPY</t>
  </si>
  <si>
    <t>w TLH</t>
  </si>
  <si>
    <t>w VCLT</t>
  </si>
  <si>
    <t>w MOM_CMD</t>
  </si>
  <si>
    <t>w MOM_EQ</t>
  </si>
  <si>
    <t>w LOW_VOL</t>
  </si>
  <si>
    <t>Markowitz optimizado con 2013-2019</t>
  </si>
  <si>
    <t>Dentro de muestra 2013-2019</t>
  </si>
  <si>
    <t>Fuera de muestra 2020-2026</t>
  </si>
  <si>
    <t>Black-Litterman calibrado con 2013-2019</t>
  </si>
  <si>
    <t>Pesos aprobados (BL del modelo)</t>
  </si>
  <si>
    <t>Pesos iguales (1/6)</t>
  </si>
  <si>
    <t>Sesgos y limitaciones declarados</t>
  </si>
  <si>
    <t>• Supervivencia: controlado con membresía histórica del S&amp;P 500 (point-in-time).</t>
  </si>
  <si>
    <t>• Anticipación: señal al cierre de t, retorno desde t+1. Limitación: clasificación GICS actual (no histórica) en el límite sectorial; afecta sobre todo antes de 2016 y a ~3% de posiciones sin clasificar.</t>
  </si>
  <si>
    <t>• Datos faltantes: un precio faltante en el mes se trata como 0% en esa posición (antes eliminaba el mes completo en Low-Vol).</t>
  </si>
  <si>
    <t>• Selección del universo de commodities: SLV y CPER se agregaron mirando el backtest (sesgo de selección). Se reporta el universo original de 3 ETF como control.</t>
  </si>
  <si>
    <t>• Costos: convención de un lado (0,1% sobre ½·Σ|Δw|); la sensibilidad con ambos lados se muestra arriba.</t>
  </si>
  <si>
    <t>• Montecarlo: bootstrap independiente (no captura regímenes ni autocorrelación); supuestos prospectivos propios, no pronósticos.</t>
  </si>
  <si>
    <t>Bitácora de auditoría del modelo original (Modelo_Nexum_Final.xlsx)</t>
  </si>
  <si>
    <t>Gravedad</t>
  </si>
  <si>
    <t>Hallazgo</t>
  </si>
  <si>
    <t>Corrección en v2</t>
  </si>
  <si>
    <t>Alta</t>
  </si>
  <si>
    <t>Fórmulas sin valores guardados (archivo escrito por código, nunca recalculado)</t>
  </si>
  <si>
    <t>Este archivo se recalcula y guarda en Excel antes de entregarse</t>
  </si>
  <si>
    <t>Mezcla de dos arquitecturas: hojas y textos del diseño anterior con calce LDI de Educación (03, 05, partes de 02, 04, 09)</t>
  </si>
  <si>
    <t>Se eliminan; el modelo describe solo la cartera única</t>
  </si>
  <si>
    <t>Referencias a 'BAB_EQ' (Betting Against Beta) en 05_Datos_Historicos</t>
  </si>
  <si>
    <t>Eliminadas; la estrategia se denomina Low-Volatility</t>
  </si>
  <si>
    <t>Low-Vol devolvía NaN en jul-2018 y dic-2018; el modelo eliminó esos meses de las 6 series (162 en vez de 164 meses)</t>
  </si>
  <si>
    <t>Dato faltante = 0% en esa posición; ventana completa de 164 meses</t>
  </si>
  <si>
    <t>Filtro 'Sharpe 12m' de Momentum calculado con volatilidad de 1 mes en el backtest, pero con 12 meses en la operación (Senales_Hoy.py)</t>
  </si>
  <si>
    <t>Backtest con volatilidad de 12 meses (regla documentada = regla operada)</t>
  </si>
  <si>
    <t>Media</t>
  </si>
  <si>
    <t>Black-Litterman: columna π de la sección 5 desplazada una fila (=D32 en vez de =D31)</t>
  </si>
  <si>
    <t>π y μ_BL se calculan con fórmulas matriciales vivas</t>
  </si>
  <si>
    <t>μ_BL y pesos pegados como valores, no auditables en el Excel</t>
  </si>
  <si>
    <t>μ_BL con MMULT/MINVERSE; pesos de SLSQP marcados como resultado de Python</t>
  </si>
  <si>
    <t>Benchmarks inconsistentes entre hojas 04 y 08 (BCOM, S&amp;P Low Vol, S&amp;P Momentum vs mezcla, SPY, QMOM)</t>
  </si>
  <si>
    <t>Un solo benchmark por sleeve, invertible y del mismo universo (hoja 07)</t>
  </si>
  <si>
    <t>Universo de commodities ampliado de 3 a 5 ETF eligiendo la combinación que más subía el Sharpe del backtest</t>
  </si>
  <si>
    <t>Declarado como sesgo de selección; control con universo de 3 ETF en 09</t>
  </si>
  <si>
    <t>Baja</t>
  </si>
  <si>
    <t>Métricas distintas para la misma estrategia según la hoja (p. ej. Sharpe Low-Vol 0,993 vs 0,81)</t>
  </si>
  <si>
    <t>Una sola convención: ventana 2013-2026 (o 2016-2026 vs benchmark), exceso sobre T-Bills</t>
  </si>
  <si>
    <t>Falta el límite sectorial de 25% en la ficha de Momentum (sí estaba en el código)</t>
  </si>
  <si>
    <t>Incluido en 01_Supuestos</t>
  </si>
  <si>
    <t>Notas 'PENDIENTE', 'Borrador' y 'Provisional' visibles</t>
  </si>
  <si>
    <t>Eliminadas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</si>
</sst>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;\(#,##0\);&quot;-&quot;"/>
    <numFmt numFmtId="166" formatCode="0.0000"/>
    <numFmt numFmtId="167" formatCode="0.00\x"/>
    <numFmt numFmtId="168" formatCode="#,##0.0"/>
    <numFmt numFmtId="170" formatCode="yyyy\-mm"/>
    <numFmt numFmtId="171" formatCode="0.00000"/>
    <numFmt numFmtId="172" formatCode="0.000000"/>
  </numFmts>
  <fonts count="12" x14ac:knownFonts="1">
    <font>
      <sz val="11"/>
      <color theme="1"/>
      <name val="Calibri"/>
      <family val="2"/>
      <scheme val="minor"/>
    </font>
    <font>
      <b/>
      <sz val="14"/>
      <color rgb="FF1F3A5F"/>
      <name val="Arial"/>
      <family val="2"/>
    </font>
    <font>
      <i/>
      <sz val="9"/>
      <color rgb="FF595959"/>
      <name val="Arial"/>
      <family val="2"/>
    </font>
    <font>
      <b/>
      <sz val="11"/>
      <color rgb="FF1F3A5F"/>
      <name val="Arial"/>
      <family val="2"/>
    </font>
    <font>
      <b/>
      <sz val="10"/>
      <color rgb="FFFFFFFF"/>
      <name val="Arial"/>
      <family val="2"/>
    </font>
    <font>
      <u/>
      <sz val="10"/>
      <color rgb="FF0563C1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1" xfId="0" applyFont="1" applyBorder="1"/>
    <xf numFmtId="10" fontId="9" fillId="3" borderId="1" xfId="0" applyNumberFormat="1" applyFont="1" applyFill="1" applyBorder="1"/>
    <xf numFmtId="164" fontId="10" fillId="3" borderId="1" xfId="0" applyNumberFormat="1" applyFont="1" applyFill="1" applyBorder="1"/>
    <xf numFmtId="165" fontId="7" fillId="0" borderId="1" xfId="0" applyNumberFormat="1" applyFont="1" applyBorder="1"/>
    <xf numFmtId="0" fontId="2" fillId="0" borderId="1" xfId="0" applyFont="1" applyBorder="1"/>
    <xf numFmtId="164" fontId="7" fillId="0" borderId="1" xfId="0" applyNumberFormat="1" applyFont="1" applyBorder="1"/>
    <xf numFmtId="1" fontId="7" fillId="0" borderId="1" xfId="0" applyNumberFormat="1" applyFont="1" applyBorder="1"/>
    <xf numFmtId="4" fontId="7" fillId="0" borderId="1" xfId="0" applyNumberFormat="1" applyFont="1" applyBorder="1"/>
    <xf numFmtId="166" fontId="8" fillId="0" borderId="1" xfId="0" applyNumberFormat="1" applyFont="1" applyBorder="1"/>
    <xf numFmtId="3" fontId="7" fillId="0" borderId="1" xfId="0" applyNumberFormat="1" applyFont="1" applyBorder="1"/>
    <xf numFmtId="165" fontId="8" fillId="0" borderId="1" xfId="0" applyNumberFormat="1" applyFont="1" applyBorder="1"/>
    <xf numFmtId="164" fontId="8" fillId="0" borderId="1" xfId="0" applyNumberFormat="1" applyFont="1" applyBorder="1"/>
    <xf numFmtId="10" fontId="7" fillId="0" borderId="1" xfId="0" applyNumberFormat="1" applyFont="1" applyBorder="1"/>
    <xf numFmtId="0" fontId="7" fillId="0" borderId="1" xfId="0" applyFont="1" applyBorder="1"/>
    <xf numFmtId="0" fontId="3" fillId="0" borderId="1" xfId="0" applyFont="1" applyBorder="1"/>
    <xf numFmtId="0" fontId="10" fillId="0" borderId="1" xfId="0" applyFont="1" applyBorder="1"/>
    <xf numFmtId="10" fontId="10" fillId="0" borderId="1" xfId="0" applyNumberFormat="1" applyFont="1" applyBorder="1"/>
    <xf numFmtId="10" fontId="8" fillId="3" borderId="1" xfId="0" applyNumberFormat="1" applyFont="1" applyFill="1" applyBorder="1"/>
    <xf numFmtId="167" fontId="8" fillId="3" borderId="1" xfId="0" applyNumberFormat="1" applyFont="1" applyFill="1" applyBorder="1"/>
    <xf numFmtId="1" fontId="6" fillId="0" borderId="1" xfId="0" applyNumberFormat="1" applyFont="1" applyBorder="1"/>
    <xf numFmtId="1" fontId="10" fillId="0" borderId="1" xfId="0" applyNumberFormat="1" applyFont="1" applyBorder="1"/>
    <xf numFmtId="165" fontId="10" fillId="0" borderId="1" xfId="0" applyNumberFormat="1" applyFont="1" applyBorder="1"/>
    <xf numFmtId="168" fontId="10" fillId="0" borderId="1" xfId="0" applyNumberFormat="1" applyFont="1" applyBorder="1"/>
    <xf numFmtId="3" fontId="10" fillId="0" borderId="1" xfId="0" applyNumberFormat="1" applyFont="1" applyBorder="1"/>
    <xf numFmtId="4" fontId="10" fillId="0" borderId="1" xfId="0" applyNumberFormat="1" applyFont="1" applyBorder="1"/>
    <xf numFmtId="170" fontId="0" fillId="0" borderId="0" xfId="0" applyNumberFormat="1"/>
    <xf numFmtId="10" fontId="10" fillId="0" borderId="0" xfId="0" applyNumberFormat="1" applyFont="1"/>
    <xf numFmtId="10" fontId="8" fillId="0" borderId="1" xfId="0" applyNumberFormat="1" applyFont="1" applyBorder="1"/>
    <xf numFmtId="171" fontId="8" fillId="0" borderId="1" xfId="0" applyNumberFormat="1" applyFont="1" applyBorder="1"/>
    <xf numFmtId="10" fontId="0" fillId="0" borderId="0" xfId="0" applyNumberFormat="1"/>
    <xf numFmtId="4" fontId="8" fillId="0" borderId="1" xfId="0" applyNumberFormat="1" applyFont="1" applyBorder="1"/>
    <xf numFmtId="0" fontId="8" fillId="0" borderId="1" xfId="0" applyFont="1" applyBorder="1"/>
    <xf numFmtId="10" fontId="9" fillId="0" borderId="1" xfId="0" applyNumberFormat="1" applyFont="1" applyBorder="1"/>
    <xf numFmtId="10" fontId="0" fillId="0" borderId="1" xfId="0" applyNumberFormat="1" applyBorder="1"/>
    <xf numFmtId="172" fontId="0" fillId="0" borderId="0" xfId="0" applyNumberFormat="1"/>
    <xf numFmtId="10" fontId="6" fillId="0" borderId="1" xfId="0" applyNumberFormat="1" applyFont="1" applyBorder="1"/>
    <xf numFmtId="164" fontId="10" fillId="0" borderId="1" xfId="0" applyNumberFormat="1" applyFont="1" applyBorder="1"/>
    <xf numFmtId="0" fontId="0" fillId="0" borderId="0" xfId="0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9"/>
  <sheetViews>
    <sheetView showGridLines="0" tabSelected="1" workbookViewId="0"/>
  </sheetViews>
  <sheetFormatPr baseColWidth="10" defaultColWidth="8.83203125" defaultRowHeight="15" x14ac:dyDescent="0.2"/>
  <cols>
    <col min="2" max="2" width="34" customWidth="1"/>
    <col min="3" max="3" width="110" customWidth="1"/>
  </cols>
  <sheetData>
    <row r="2" spans="2:3" ht="18" x14ac:dyDescent="0.2">
      <c r="B2" s="1" t="s">
        <v>0</v>
      </c>
    </row>
    <row r="3" spans="2:3" x14ac:dyDescent="0.2">
      <c r="B3" s="2" t="s">
        <v>1</v>
      </c>
    </row>
    <row r="5" spans="2:3" x14ac:dyDescent="0.2">
      <c r="B5" s="3" t="s">
        <v>2</v>
      </c>
    </row>
    <row r="6" spans="2:3" x14ac:dyDescent="0.2">
      <c r="B6" s="4" t="s">
        <v>3</v>
      </c>
      <c r="C6" s="4" t="s">
        <v>4</v>
      </c>
    </row>
    <row r="7" spans="2:3" x14ac:dyDescent="0.2">
      <c r="B7" s="5" t="s">
        <v>5</v>
      </c>
      <c r="C7" s="6" t="s">
        <v>6</v>
      </c>
    </row>
    <row r="8" spans="2:3" x14ac:dyDescent="0.2">
      <c r="B8" s="5" t="s">
        <v>7</v>
      </c>
      <c r="C8" s="6" t="s">
        <v>8</v>
      </c>
    </row>
    <row r="9" spans="2:3" x14ac:dyDescent="0.2">
      <c r="B9" s="5" t="s">
        <v>9</v>
      </c>
      <c r="C9" s="6" t="s">
        <v>10</v>
      </c>
    </row>
    <row r="10" spans="2:3" x14ac:dyDescent="0.2">
      <c r="B10" s="5" t="s">
        <v>11</v>
      </c>
      <c r="C10" s="6" t="s">
        <v>12</v>
      </c>
    </row>
    <row r="11" spans="2:3" x14ac:dyDescent="0.2">
      <c r="B11" s="5" t="s">
        <v>13</v>
      </c>
      <c r="C11" s="6" t="s">
        <v>14</v>
      </c>
    </row>
    <row r="12" spans="2:3" x14ac:dyDescent="0.2">
      <c r="B12" s="5" t="s">
        <v>15</v>
      </c>
      <c r="C12" s="6" t="s">
        <v>16</v>
      </c>
    </row>
    <row r="13" spans="2:3" x14ac:dyDescent="0.2">
      <c r="B13" s="5" t="s">
        <v>17</v>
      </c>
      <c r="C13" s="6" t="s">
        <v>18</v>
      </c>
    </row>
    <row r="14" spans="2:3" x14ac:dyDescent="0.2">
      <c r="B14" s="5" t="s">
        <v>19</v>
      </c>
      <c r="C14" s="6" t="s">
        <v>20</v>
      </c>
    </row>
    <row r="15" spans="2:3" x14ac:dyDescent="0.2">
      <c r="B15" s="5" t="s">
        <v>21</v>
      </c>
      <c r="C15" s="6" t="s">
        <v>22</v>
      </c>
    </row>
    <row r="16" spans="2:3" x14ac:dyDescent="0.2">
      <c r="B16" s="5" t="s">
        <v>23</v>
      </c>
      <c r="C16" s="6" t="s">
        <v>24</v>
      </c>
    </row>
    <row r="19" spans="2:3" x14ac:dyDescent="0.2">
      <c r="B19" s="3" t="s">
        <v>25</v>
      </c>
    </row>
    <row r="20" spans="2:3" x14ac:dyDescent="0.2">
      <c r="B20" s="7" t="s">
        <v>26</v>
      </c>
    </row>
    <row r="21" spans="2:3" x14ac:dyDescent="0.2">
      <c r="B21" s="8" t="s">
        <v>27</v>
      </c>
    </row>
    <row r="22" spans="2:3" x14ac:dyDescent="0.2">
      <c r="B22" s="9" t="s">
        <v>28</v>
      </c>
    </row>
    <row r="23" spans="2:3" x14ac:dyDescent="0.2">
      <c r="B23" s="10" t="s">
        <v>29</v>
      </c>
    </row>
    <row r="25" spans="2:3" x14ac:dyDescent="0.2">
      <c r="B25" s="3" t="s">
        <v>30</v>
      </c>
    </row>
    <row r="26" spans="2:3" x14ac:dyDescent="0.2">
      <c r="B26" s="11" t="s">
        <v>31</v>
      </c>
      <c r="C26" s="12">
        <f>'02_Objetivos_TIR'!D8</f>
        <v>4.5564080984626498E-2</v>
      </c>
    </row>
    <row r="27" spans="2:3" x14ac:dyDescent="0.2">
      <c r="B27" s="11" t="s">
        <v>32</v>
      </c>
      <c r="C27" s="13">
        <v>0.95955000000000001</v>
      </c>
    </row>
    <row r="28" spans="2:3" x14ac:dyDescent="0.2">
      <c r="B28" s="11" t="s">
        <v>33</v>
      </c>
      <c r="C28" s="13">
        <v>0.46529999999999999</v>
      </c>
    </row>
    <row r="29" spans="2:3" x14ac:dyDescent="0.2">
      <c r="B29" s="11" t="s">
        <v>34</v>
      </c>
      <c r="C29" s="13">
        <v>0.999</v>
      </c>
    </row>
  </sheetData>
  <hyperlinks>
    <hyperlink ref="B7" location="'01_Supuestos'!A1" display="01_Supuestos" xr:uid="{00000000-0004-0000-0000-000000000000}"/>
    <hyperlink ref="B8" location="'02_Objetivos_TIR'!A1" display="02_Objetivos_TIR" xr:uid="{00000000-0004-0000-0000-000001000000}"/>
    <hyperlink ref="B9" location="'03_Estrategias'!A1" display="03_Estrategias" xr:uid="{00000000-0004-0000-0000-000002000000}"/>
    <hyperlink ref="B10" location="'04_Datos_Mensuales'!A1" display="04_Datos_Mensuales" xr:uid="{00000000-0004-0000-0000-000003000000}"/>
    <hyperlink ref="B11" location="'05_Markowitz'!A1" display="05_Markowitz" xr:uid="{00000000-0004-0000-0000-000004000000}"/>
    <hyperlink ref="B12" location="'06_Black_Litterman'!A1" display="06_Black_Litterman" xr:uid="{00000000-0004-0000-0000-000005000000}"/>
    <hyperlink ref="B13" location="'07_Benchmark_Metricas'!A1" display="07_Benchmark_Metricas" xr:uid="{00000000-0004-0000-0000-000006000000}"/>
    <hyperlink ref="B14" location="'08_Montecarlo'!A1" display="08_Montecarlo" xr:uid="{00000000-0004-0000-0000-000007000000}"/>
    <hyperlink ref="B15" location="'09_Validacion'!A1" display="09_Validacion" xr:uid="{00000000-0004-0000-0000-000008000000}"/>
    <hyperlink ref="B16" location="'10_Bitacora_Auditoria'!A1" display="10_Bitacora_Auditoria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60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36" customWidth="1"/>
    <col min="3" max="3" width="2" customWidth="1"/>
    <col min="4" max="4" width="16" customWidth="1"/>
    <col min="5" max="5" width="80" customWidth="1"/>
  </cols>
  <sheetData>
    <row r="2" spans="2:5" ht="18" x14ac:dyDescent="0.2">
      <c r="B2" s="1" t="s">
        <v>35</v>
      </c>
    </row>
    <row r="3" spans="2:5" x14ac:dyDescent="0.2">
      <c r="B3" s="2" t="s">
        <v>36</v>
      </c>
    </row>
    <row r="5" spans="2:5" x14ac:dyDescent="0.2">
      <c r="B5" s="4" t="s">
        <v>37</v>
      </c>
      <c r="C5" s="4"/>
      <c r="D5" s="4" t="s">
        <v>38</v>
      </c>
      <c r="E5" s="4" t="s">
        <v>39</v>
      </c>
    </row>
    <row r="6" spans="2:5" x14ac:dyDescent="0.2">
      <c r="B6" s="3" t="s">
        <v>40</v>
      </c>
    </row>
    <row r="7" spans="2:5" x14ac:dyDescent="0.2">
      <c r="B7" s="6" t="s">
        <v>41</v>
      </c>
      <c r="D7" s="14">
        <v>150000</v>
      </c>
      <c r="E7" s="15" t="s">
        <v>42</v>
      </c>
    </row>
    <row r="8" spans="2:5" x14ac:dyDescent="0.2">
      <c r="B8" s="6" t="s">
        <v>43</v>
      </c>
      <c r="D8" s="16">
        <v>0.04</v>
      </c>
      <c r="E8" s="15" t="s">
        <v>44</v>
      </c>
    </row>
    <row r="9" spans="2:5" x14ac:dyDescent="0.2">
      <c r="B9" s="6" t="s">
        <v>45</v>
      </c>
      <c r="D9" s="14">
        <v>10000</v>
      </c>
      <c r="E9" s="15" t="s">
        <v>46</v>
      </c>
    </row>
    <row r="10" spans="2:5" x14ac:dyDescent="0.2">
      <c r="B10" s="6" t="s">
        <v>47</v>
      </c>
      <c r="D10" s="17">
        <v>19</v>
      </c>
      <c r="E10" s="15" t="s">
        <v>48</v>
      </c>
    </row>
    <row r="11" spans="2:5" x14ac:dyDescent="0.2">
      <c r="B11" s="6" t="s">
        <v>49</v>
      </c>
      <c r="D11" s="18">
        <v>911.77</v>
      </c>
      <c r="E11" s="15" t="s">
        <v>50</v>
      </c>
    </row>
    <row r="12" spans="2:5" x14ac:dyDescent="0.2">
      <c r="B12" s="6" t="s">
        <v>51</v>
      </c>
      <c r="D12" s="18">
        <v>40846</v>
      </c>
      <c r="E12" s="15" t="s">
        <v>50</v>
      </c>
    </row>
    <row r="13" spans="2:5" x14ac:dyDescent="0.2">
      <c r="B13" s="6" t="s">
        <v>52</v>
      </c>
      <c r="D13" s="19">
        <f>D12/D11</f>
        <v>44.798578588898515</v>
      </c>
      <c r="E13" s="15" t="s">
        <v>53</v>
      </c>
    </row>
    <row r="14" spans="2:5" x14ac:dyDescent="0.2">
      <c r="B14" s="6" t="s">
        <v>54</v>
      </c>
      <c r="D14" s="16">
        <v>0.02</v>
      </c>
      <c r="E14" s="15" t="s">
        <v>55</v>
      </c>
    </row>
    <row r="15" spans="2:5" x14ac:dyDescent="0.2">
      <c r="B15" s="3" t="s">
        <v>56</v>
      </c>
    </row>
    <row r="16" spans="2:5" x14ac:dyDescent="0.2">
      <c r="B16" s="6" t="s">
        <v>57</v>
      </c>
      <c r="D16" s="20">
        <v>65000000</v>
      </c>
      <c r="E16" s="15" t="s">
        <v>42</v>
      </c>
    </row>
    <row r="17" spans="2:5" x14ac:dyDescent="0.2">
      <c r="B17" s="6" t="s">
        <v>58</v>
      </c>
      <c r="D17" s="17">
        <v>5</v>
      </c>
      <c r="E17" s="15" t="s">
        <v>59</v>
      </c>
    </row>
    <row r="18" spans="2:5" x14ac:dyDescent="0.2">
      <c r="B18" s="6" t="s">
        <v>60</v>
      </c>
      <c r="D18" s="21">
        <f>D16/D11/D17</f>
        <v>14257.981727848033</v>
      </c>
      <c r="E18" s="15" t="s">
        <v>53</v>
      </c>
    </row>
    <row r="19" spans="2:5" x14ac:dyDescent="0.2">
      <c r="B19" s="6" t="s">
        <v>61</v>
      </c>
      <c r="D19" s="17">
        <v>14</v>
      </c>
      <c r="E19" s="15" t="s">
        <v>62</v>
      </c>
    </row>
    <row r="20" spans="2:5" x14ac:dyDescent="0.2">
      <c r="B20" s="6" t="s">
        <v>63</v>
      </c>
      <c r="D20" s="17">
        <v>16</v>
      </c>
      <c r="E20" s="15" t="s">
        <v>64</v>
      </c>
    </row>
    <row r="21" spans="2:5" x14ac:dyDescent="0.2">
      <c r="B21" s="6" t="s">
        <v>65</v>
      </c>
      <c r="D21" s="20">
        <v>10500</v>
      </c>
      <c r="E21" s="15" t="s">
        <v>66</v>
      </c>
    </row>
    <row r="22" spans="2:5" x14ac:dyDescent="0.2">
      <c r="B22" s="6" t="s">
        <v>67</v>
      </c>
      <c r="D22" s="17">
        <v>25</v>
      </c>
      <c r="E22" s="15" t="s">
        <v>68</v>
      </c>
    </row>
    <row r="23" spans="2:5" x14ac:dyDescent="0.2">
      <c r="B23" s="6" t="s">
        <v>69</v>
      </c>
      <c r="D23" s="14">
        <v>500000</v>
      </c>
      <c r="E23" s="15" t="s">
        <v>70</v>
      </c>
    </row>
    <row r="24" spans="2:5" x14ac:dyDescent="0.2">
      <c r="B24" s="6" t="s">
        <v>71</v>
      </c>
      <c r="D24" s="17">
        <v>50</v>
      </c>
      <c r="E24" s="15" t="s">
        <v>72</v>
      </c>
    </row>
    <row r="25" spans="2:5" x14ac:dyDescent="0.2">
      <c r="B25" s="6" t="s">
        <v>73</v>
      </c>
      <c r="D25" s="16">
        <v>2.5000000000000001E-2</v>
      </c>
      <c r="E25" s="15" t="s">
        <v>74</v>
      </c>
    </row>
    <row r="26" spans="2:5" x14ac:dyDescent="0.2">
      <c r="B26" s="3" t="s">
        <v>75</v>
      </c>
    </row>
    <row r="27" spans="2:5" x14ac:dyDescent="0.2">
      <c r="B27" s="6" t="s">
        <v>76</v>
      </c>
      <c r="D27" s="16">
        <v>0.6</v>
      </c>
      <c r="E27" s="15" t="s">
        <v>77</v>
      </c>
    </row>
    <row r="28" spans="2:5" x14ac:dyDescent="0.2">
      <c r="B28" s="6" t="s">
        <v>78</v>
      </c>
      <c r="D28" s="16">
        <v>0.7</v>
      </c>
      <c r="E28" s="15" t="s">
        <v>77</v>
      </c>
    </row>
    <row r="29" spans="2:5" x14ac:dyDescent="0.2">
      <c r="B29" s="6" t="s">
        <v>79</v>
      </c>
      <c r="D29" s="18">
        <v>2.5</v>
      </c>
      <c r="E29" s="15" t="s">
        <v>80</v>
      </c>
    </row>
    <row r="30" spans="2:5" x14ac:dyDescent="0.2">
      <c r="B30" s="6" t="s">
        <v>81</v>
      </c>
      <c r="D30" s="18">
        <v>0.05</v>
      </c>
      <c r="E30" s="15" t="s">
        <v>82</v>
      </c>
    </row>
    <row r="31" spans="2:5" x14ac:dyDescent="0.2">
      <c r="B31" s="6" t="s">
        <v>83</v>
      </c>
      <c r="D31" s="16">
        <v>1.4999999999999999E-2</v>
      </c>
      <c r="E31" s="15" t="s">
        <v>84</v>
      </c>
    </row>
    <row r="32" spans="2:5" x14ac:dyDescent="0.2">
      <c r="B32" s="6" t="s">
        <v>85</v>
      </c>
      <c r="D32" s="18">
        <v>0.5</v>
      </c>
      <c r="E32" s="15" t="s">
        <v>86</v>
      </c>
    </row>
    <row r="33" spans="2:5" x14ac:dyDescent="0.2">
      <c r="B33" s="6" t="s">
        <v>87</v>
      </c>
      <c r="D33" s="22">
        <f>D31/D32</f>
        <v>0.03</v>
      </c>
      <c r="E33" s="15" t="s">
        <v>53</v>
      </c>
    </row>
    <row r="34" spans="2:5" x14ac:dyDescent="0.2">
      <c r="B34" s="6" t="s">
        <v>88</v>
      </c>
      <c r="D34" s="16">
        <v>0.04</v>
      </c>
      <c r="E34" s="15" t="s">
        <v>89</v>
      </c>
    </row>
    <row r="35" spans="2:5" x14ac:dyDescent="0.2">
      <c r="B35" s="6" t="s">
        <v>90</v>
      </c>
      <c r="D35" s="23">
        <v>1E-3</v>
      </c>
      <c r="E35" s="15" t="s">
        <v>91</v>
      </c>
    </row>
    <row r="37" spans="2:5" x14ac:dyDescent="0.2">
      <c r="B37" s="3" t="s">
        <v>92</v>
      </c>
    </row>
    <row r="38" spans="2:5" ht="112" x14ac:dyDescent="0.2">
      <c r="B38" s="4" t="s">
        <v>93</v>
      </c>
      <c r="C38" s="4" t="s">
        <v>94</v>
      </c>
      <c r="D38" s="4" t="s">
        <v>95</v>
      </c>
    </row>
    <row r="39" spans="2:5" x14ac:dyDescent="0.2">
      <c r="B39" s="6" t="s">
        <v>96</v>
      </c>
      <c r="C39" s="6" t="s">
        <v>97</v>
      </c>
      <c r="D39" s="6" t="s">
        <v>98</v>
      </c>
    </row>
    <row r="40" spans="2:5" x14ac:dyDescent="0.2">
      <c r="B40" s="6"/>
      <c r="C40" s="6" t="s">
        <v>99</v>
      </c>
      <c r="D40" s="6" t="s">
        <v>100</v>
      </c>
    </row>
    <row r="41" spans="2:5" x14ac:dyDescent="0.2">
      <c r="B41" s="6"/>
      <c r="C41" s="6" t="s">
        <v>101</v>
      </c>
      <c r="D41" s="6" t="s">
        <v>102</v>
      </c>
    </row>
    <row r="42" spans="2:5" x14ac:dyDescent="0.2">
      <c r="B42" s="6"/>
      <c r="C42" s="6" t="s">
        <v>103</v>
      </c>
      <c r="D42" s="6" t="s">
        <v>104</v>
      </c>
    </row>
    <row r="43" spans="2:5" x14ac:dyDescent="0.2">
      <c r="B43" s="6" t="s">
        <v>105</v>
      </c>
      <c r="C43" s="6" t="s">
        <v>97</v>
      </c>
      <c r="D43" s="6" t="s">
        <v>106</v>
      </c>
    </row>
    <row r="44" spans="2:5" x14ac:dyDescent="0.2">
      <c r="B44" s="6"/>
      <c r="C44" s="6" t="s">
        <v>101</v>
      </c>
      <c r="D44" s="6" t="s">
        <v>107</v>
      </c>
    </row>
    <row r="45" spans="2:5" x14ac:dyDescent="0.2">
      <c r="B45" s="6"/>
      <c r="C45" s="6" t="s">
        <v>103</v>
      </c>
      <c r="D45" s="6" t="s">
        <v>104</v>
      </c>
    </row>
    <row r="46" spans="2:5" x14ac:dyDescent="0.2">
      <c r="B46" s="6" t="s">
        <v>108</v>
      </c>
      <c r="C46" s="6" t="s">
        <v>97</v>
      </c>
      <c r="D46" s="6" t="s">
        <v>109</v>
      </c>
    </row>
    <row r="47" spans="2:5" x14ac:dyDescent="0.2">
      <c r="B47" s="6"/>
      <c r="C47" s="6" t="s">
        <v>99</v>
      </c>
      <c r="D47" s="6" t="s">
        <v>110</v>
      </c>
    </row>
    <row r="48" spans="2:5" x14ac:dyDescent="0.2">
      <c r="B48" s="6"/>
      <c r="C48" s="6" t="s">
        <v>103</v>
      </c>
      <c r="D48" s="6" t="s">
        <v>111</v>
      </c>
    </row>
    <row r="49" spans="2:4" x14ac:dyDescent="0.2">
      <c r="B49" s="6" t="s">
        <v>112</v>
      </c>
      <c r="C49" s="6" t="s">
        <v>113</v>
      </c>
      <c r="D49" s="6" t="s">
        <v>114</v>
      </c>
    </row>
    <row r="51" spans="2:4" x14ac:dyDescent="0.2">
      <c r="B51" s="3" t="s">
        <v>115</v>
      </c>
    </row>
    <row r="52" spans="2:4" ht="332" x14ac:dyDescent="0.2">
      <c r="B52" s="4" t="s">
        <v>116</v>
      </c>
      <c r="C52" s="4" t="s">
        <v>117</v>
      </c>
    </row>
    <row r="53" spans="2:4" x14ac:dyDescent="0.2">
      <c r="B53" s="24" t="s">
        <v>118</v>
      </c>
      <c r="C53" s="16">
        <v>0.05</v>
      </c>
    </row>
    <row r="54" spans="2:4" x14ac:dyDescent="0.2">
      <c r="B54" s="24" t="s">
        <v>119</v>
      </c>
      <c r="C54" s="16">
        <v>2.5999999999999999E-2</v>
      </c>
    </row>
    <row r="55" spans="2:4" x14ac:dyDescent="0.2">
      <c r="B55" s="24" t="s">
        <v>120</v>
      </c>
      <c r="C55" s="16">
        <v>3.2000000000000001E-2</v>
      </c>
    </row>
    <row r="56" spans="2:4" x14ac:dyDescent="0.2">
      <c r="B56" s="24" t="s">
        <v>121</v>
      </c>
      <c r="C56" s="16">
        <v>0.02</v>
      </c>
    </row>
    <row r="57" spans="2:4" x14ac:dyDescent="0.2">
      <c r="B57" s="24" t="s">
        <v>122</v>
      </c>
      <c r="C57" s="16">
        <v>5.5E-2</v>
      </c>
    </row>
    <row r="58" spans="2:4" x14ac:dyDescent="0.2">
      <c r="B58" s="24" t="s">
        <v>123</v>
      </c>
      <c r="C58" s="16">
        <v>4.4999999999999998E-2</v>
      </c>
    </row>
    <row r="59" spans="2:4" x14ac:dyDescent="0.2">
      <c r="B59" s="24" t="s">
        <v>124</v>
      </c>
      <c r="C59" s="16">
        <v>5.5E-2</v>
      </c>
    </row>
    <row r="60" spans="2:4" x14ac:dyDescent="0.2">
      <c r="B60" s="24" t="s">
        <v>125</v>
      </c>
      <c r="C60" s="16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63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40" customWidth="1"/>
    <col min="3" max="3" width="11" customWidth="1"/>
    <col min="4" max="4" width="13" customWidth="1"/>
    <col min="5" max="5" width="11" customWidth="1"/>
    <col min="6" max="11" width="12" customWidth="1"/>
    <col min="13" max="13" width="52" customWidth="1"/>
    <col min="14" max="14" width="16" customWidth="1"/>
    <col min="15" max="15" width="14" customWidth="1"/>
    <col min="16" max="16" width="12" customWidth="1"/>
    <col min="17" max="17" width="16" customWidth="1"/>
  </cols>
  <sheetData>
    <row r="2" spans="2:14" ht="18" x14ac:dyDescent="0.2">
      <c r="B2" s="1" t="s">
        <v>126</v>
      </c>
    </row>
    <row r="3" spans="2:14" x14ac:dyDescent="0.2">
      <c r="B3" s="2" t="s">
        <v>127</v>
      </c>
    </row>
    <row r="5" spans="2:14" x14ac:dyDescent="0.2">
      <c r="B5" s="11" t="s">
        <v>128</v>
      </c>
      <c r="D5" s="11" t="s">
        <v>38</v>
      </c>
      <c r="M5" s="25" t="s">
        <v>129</v>
      </c>
    </row>
    <row r="6" spans="2:14" x14ac:dyDescent="0.2">
      <c r="B6" s="6" t="s">
        <v>130</v>
      </c>
      <c r="D6" s="21">
        <f>NPV('01_Supuestos'!$D$25,E14:E63)+E13</f>
        <v>299788.91342787992</v>
      </c>
      <c r="M6" s="4" t="s">
        <v>131</v>
      </c>
      <c r="N6" s="4" t="s">
        <v>132</v>
      </c>
    </row>
    <row r="7" spans="2:14" x14ac:dyDescent="0.2">
      <c r="B7" s="6" t="s">
        <v>133</v>
      </c>
      <c r="D7" s="21">
        <f>-(NPV('01_Supuestos'!$D$25,J14:J63)+J13)</f>
        <v>492980.86624375044</v>
      </c>
      <c r="M7" s="26" t="s">
        <v>134</v>
      </c>
      <c r="N7" s="27">
        <v>4.5564080984626998E-2</v>
      </c>
    </row>
    <row r="8" spans="2:14" x14ac:dyDescent="0.2">
      <c r="B8" s="11" t="s">
        <v>135</v>
      </c>
      <c r="D8" s="28">
        <f>IRR(K13:K63,0.04)</f>
        <v>4.5564080984626498E-2</v>
      </c>
      <c r="M8" s="26" t="s">
        <v>136</v>
      </c>
      <c r="N8" s="27">
        <v>4.9304386916459282E-2</v>
      </c>
    </row>
    <row r="9" spans="2:14" x14ac:dyDescent="0.2">
      <c r="B9" s="6" t="s">
        <v>137</v>
      </c>
      <c r="D9" s="29">
        <f>D6/D7</f>
        <v>0.60811470374521936</v>
      </c>
      <c r="M9" s="26" t="s">
        <v>138</v>
      </c>
      <c r="N9" s="27">
        <v>4.9344013689775638E-2</v>
      </c>
    </row>
    <row r="10" spans="2:14" x14ac:dyDescent="0.2">
      <c r="M10" s="26" t="s">
        <v>139</v>
      </c>
      <c r="N10" s="27">
        <v>4.9805833519618953E-2</v>
      </c>
    </row>
    <row r="11" spans="2:14" x14ac:dyDescent="0.2">
      <c r="M11" s="26" t="s">
        <v>140</v>
      </c>
      <c r="N11" s="27">
        <v>5.3691469644161077E-2</v>
      </c>
    </row>
    <row r="12" spans="2:14" ht="28" x14ac:dyDescent="0.2">
      <c r="B12" s="4" t="s">
        <v>141</v>
      </c>
      <c r="C12" s="4" t="s">
        <v>142</v>
      </c>
      <c r="D12" s="4" t="s">
        <v>143</v>
      </c>
      <c r="E12" s="4" t="s">
        <v>144</v>
      </c>
      <c r="F12" s="4" t="s">
        <v>145</v>
      </c>
      <c r="G12" s="4" t="s">
        <v>146</v>
      </c>
      <c r="H12" s="4" t="s">
        <v>147</v>
      </c>
      <c r="I12" s="4" t="s">
        <v>148</v>
      </c>
      <c r="J12" s="4" t="s">
        <v>149</v>
      </c>
      <c r="K12" s="4" t="s">
        <v>150</v>
      </c>
      <c r="M12" s="26" t="s">
        <v>151</v>
      </c>
      <c r="N12" s="27">
        <v>5.6223558517305962E-2</v>
      </c>
    </row>
    <row r="13" spans="2:14" x14ac:dyDescent="0.2">
      <c r="B13" s="30">
        <v>0</v>
      </c>
      <c r="C13" s="21">
        <f>IF(B13=0,'01_Supuestos'!$D$7,0)</f>
        <v>150000</v>
      </c>
      <c r="D13" s="21">
        <f>IF(AND(B13&gt;=1,B13&lt;='01_Supuestos'!$D$10),'01_Supuestos'!$D$9,0)</f>
        <v>0</v>
      </c>
      <c r="E13" s="21">
        <f t="shared" ref="E13:E44" si="0">C13+D13</f>
        <v>150000</v>
      </c>
      <c r="F13" s="21">
        <f>IF(AND(B13&gt;='01_Supuestos'!$D$19,B13&lt;'01_Supuestos'!$D$19+'01_Supuestos'!$D$17),-'01_Supuestos'!$D$18,0)</f>
        <v>0</v>
      </c>
      <c r="G13" s="21">
        <f>IF(AND(B13&gt;='01_Supuestos'!$D$20,B13&lt;'01_Supuestos'!$D$20+'01_Supuestos'!$D$17),-'01_Supuestos'!$D$18,0)</f>
        <v>0</v>
      </c>
      <c r="H13" s="21">
        <f>IF(B13='01_Supuestos'!$D$22,-'01_Supuestos'!$D$21*'01_Supuestos'!$D$13,0)</f>
        <v>0</v>
      </c>
      <c r="I13" s="21">
        <f>IF(B13='01_Supuestos'!$D$24,-'01_Supuestos'!$D$23,0)</f>
        <v>0</v>
      </c>
      <c r="J13" s="21">
        <f t="shared" ref="J13:J44" si="1">SUM(F13:I13)</f>
        <v>0</v>
      </c>
      <c r="K13" s="21">
        <f t="shared" ref="K13:K44" si="2">E13+J13</f>
        <v>150000</v>
      </c>
      <c r="M13" s="26" t="s">
        <v>152</v>
      </c>
      <c r="N13" s="27">
        <v>4.0614238409065043E-2</v>
      </c>
    </row>
    <row r="14" spans="2:14" x14ac:dyDescent="0.2">
      <c r="B14" s="30">
        <v>1</v>
      </c>
      <c r="C14" s="21">
        <f>IF(B14=0,'01_Supuestos'!$D$7,0)</f>
        <v>0</v>
      </c>
      <c r="D14" s="21">
        <f>IF(AND(B14&gt;=1,B14&lt;='01_Supuestos'!$D$10),'01_Supuestos'!$D$9,0)</f>
        <v>10000</v>
      </c>
      <c r="E14" s="21">
        <f t="shared" si="0"/>
        <v>10000</v>
      </c>
      <c r="F14" s="21">
        <f>IF(AND(B14&gt;='01_Supuestos'!$D$19,B14&lt;'01_Supuestos'!$D$19+'01_Supuestos'!$D$17),-'01_Supuestos'!$D$18,0)</f>
        <v>0</v>
      </c>
      <c r="G14" s="21">
        <f>IF(AND(B14&gt;='01_Supuestos'!$D$20,B14&lt;'01_Supuestos'!$D$20+'01_Supuestos'!$D$17),-'01_Supuestos'!$D$18,0)</f>
        <v>0</v>
      </c>
      <c r="H14" s="21">
        <f>IF(B14='01_Supuestos'!$D$22,-'01_Supuestos'!$D$21*'01_Supuestos'!$D$13,0)</f>
        <v>0</v>
      </c>
      <c r="I14" s="21">
        <f>IF(B14='01_Supuestos'!$D$24,-'01_Supuestos'!$D$23,0)</f>
        <v>0</v>
      </c>
      <c r="J14" s="21">
        <f t="shared" si="1"/>
        <v>0</v>
      </c>
      <c r="K14" s="21">
        <f t="shared" si="2"/>
        <v>10000</v>
      </c>
      <c r="M14" s="26" t="s">
        <v>153</v>
      </c>
      <c r="N14" s="27">
        <v>3.9216423106465378E-2</v>
      </c>
    </row>
    <row r="15" spans="2:14" x14ac:dyDescent="0.2">
      <c r="B15" s="30">
        <v>2</v>
      </c>
      <c r="C15" s="21">
        <f>IF(B15=0,'01_Supuestos'!$D$7,0)</f>
        <v>0</v>
      </c>
      <c r="D15" s="21">
        <f>IF(AND(B15&gt;=1,B15&lt;='01_Supuestos'!$D$10),'01_Supuestos'!$D$9,0)</f>
        <v>10000</v>
      </c>
      <c r="E15" s="21">
        <f t="shared" si="0"/>
        <v>10000</v>
      </c>
      <c r="F15" s="21">
        <f>IF(AND(B15&gt;='01_Supuestos'!$D$19,B15&lt;'01_Supuestos'!$D$19+'01_Supuestos'!$D$17),-'01_Supuestos'!$D$18,0)</f>
        <v>0</v>
      </c>
      <c r="G15" s="21">
        <f>IF(AND(B15&gt;='01_Supuestos'!$D$20,B15&lt;'01_Supuestos'!$D$20+'01_Supuestos'!$D$17),-'01_Supuestos'!$D$18,0)</f>
        <v>0</v>
      </c>
      <c r="H15" s="21">
        <f>IF(B15='01_Supuestos'!$D$22,-'01_Supuestos'!$D$21*'01_Supuestos'!$D$13,0)</f>
        <v>0</v>
      </c>
      <c r="I15" s="21">
        <f>IF(B15='01_Supuestos'!$D$24,-'01_Supuestos'!$D$23,0)</f>
        <v>0</v>
      </c>
      <c r="J15" s="21">
        <f t="shared" si="1"/>
        <v>0</v>
      </c>
      <c r="K15" s="21">
        <f t="shared" si="2"/>
        <v>10000</v>
      </c>
      <c r="M15" s="26" t="s">
        <v>154</v>
      </c>
      <c r="N15" s="27">
        <v>3.2796276024211042E-2</v>
      </c>
    </row>
    <row r="16" spans="2:14" x14ac:dyDescent="0.2">
      <c r="B16" s="30">
        <v>3</v>
      </c>
      <c r="C16" s="21">
        <f>IF(B16=0,'01_Supuestos'!$D$7,0)</f>
        <v>0</v>
      </c>
      <c r="D16" s="21">
        <f>IF(AND(B16&gt;=1,B16&lt;='01_Supuestos'!$D$10),'01_Supuestos'!$D$9,0)</f>
        <v>10000</v>
      </c>
      <c r="E16" s="21">
        <f t="shared" si="0"/>
        <v>10000</v>
      </c>
      <c r="F16" s="21">
        <f>IF(AND(B16&gt;='01_Supuestos'!$D$19,B16&lt;'01_Supuestos'!$D$19+'01_Supuestos'!$D$17),-'01_Supuestos'!$D$18,0)</f>
        <v>0</v>
      </c>
      <c r="G16" s="21">
        <f>IF(AND(B16&gt;='01_Supuestos'!$D$20,B16&lt;'01_Supuestos'!$D$20+'01_Supuestos'!$D$17),-'01_Supuestos'!$D$18,0)</f>
        <v>0</v>
      </c>
      <c r="H16" s="21">
        <f>IF(B16='01_Supuestos'!$D$22,-'01_Supuestos'!$D$21*'01_Supuestos'!$D$13,0)</f>
        <v>0</v>
      </c>
      <c r="I16" s="21">
        <f>IF(B16='01_Supuestos'!$D$24,-'01_Supuestos'!$D$23,0)</f>
        <v>0</v>
      </c>
      <c r="J16" s="21">
        <f t="shared" si="1"/>
        <v>0</v>
      </c>
      <c r="K16" s="21">
        <f t="shared" si="2"/>
        <v>10000</v>
      </c>
    </row>
    <row r="17" spans="2:17" x14ac:dyDescent="0.2">
      <c r="B17" s="30">
        <v>4</v>
      </c>
      <c r="C17" s="21">
        <f>IF(B17=0,'01_Supuestos'!$D$7,0)</f>
        <v>0</v>
      </c>
      <c r="D17" s="21">
        <f>IF(AND(B17&gt;=1,B17&lt;='01_Supuestos'!$D$10),'01_Supuestos'!$D$9,0)</f>
        <v>10000</v>
      </c>
      <c r="E17" s="21">
        <f t="shared" si="0"/>
        <v>10000</v>
      </c>
      <c r="F17" s="21">
        <f>IF(AND(B17&gt;='01_Supuestos'!$D$19,B17&lt;'01_Supuestos'!$D$19+'01_Supuestos'!$D$17),-'01_Supuestos'!$D$18,0)</f>
        <v>0</v>
      </c>
      <c r="G17" s="21">
        <f>IF(AND(B17&gt;='01_Supuestos'!$D$20,B17&lt;'01_Supuestos'!$D$20+'01_Supuestos'!$D$17),-'01_Supuestos'!$D$18,0)</f>
        <v>0</v>
      </c>
      <c r="H17" s="21">
        <f>IF(B17='01_Supuestos'!$D$22,-'01_Supuestos'!$D$21*'01_Supuestos'!$D$13,0)</f>
        <v>0</v>
      </c>
      <c r="I17" s="21">
        <f>IF(B17='01_Supuestos'!$D$24,-'01_Supuestos'!$D$23,0)</f>
        <v>0</v>
      </c>
      <c r="J17" s="21">
        <f t="shared" si="1"/>
        <v>0</v>
      </c>
      <c r="K17" s="21">
        <f t="shared" si="2"/>
        <v>10000</v>
      </c>
    </row>
    <row r="18" spans="2:17" x14ac:dyDescent="0.2">
      <c r="B18" s="30">
        <v>5</v>
      </c>
      <c r="C18" s="21">
        <f>IF(B18=0,'01_Supuestos'!$D$7,0)</f>
        <v>0</v>
      </c>
      <c r="D18" s="21">
        <f>IF(AND(B18&gt;=1,B18&lt;='01_Supuestos'!$D$10),'01_Supuestos'!$D$9,0)</f>
        <v>10000</v>
      </c>
      <c r="E18" s="21">
        <f t="shared" si="0"/>
        <v>10000</v>
      </c>
      <c r="F18" s="21">
        <f>IF(AND(B18&gt;='01_Supuestos'!$D$19,B18&lt;'01_Supuestos'!$D$19+'01_Supuestos'!$D$17),-'01_Supuestos'!$D$18,0)</f>
        <v>0</v>
      </c>
      <c r="G18" s="21">
        <f>IF(AND(B18&gt;='01_Supuestos'!$D$20,B18&lt;'01_Supuestos'!$D$20+'01_Supuestos'!$D$17),-'01_Supuestos'!$D$18,0)</f>
        <v>0</v>
      </c>
      <c r="H18" s="21">
        <f>IF(B18='01_Supuestos'!$D$22,-'01_Supuestos'!$D$21*'01_Supuestos'!$D$13,0)</f>
        <v>0</v>
      </c>
      <c r="I18" s="21">
        <f>IF(B18='01_Supuestos'!$D$24,-'01_Supuestos'!$D$23,0)</f>
        <v>0</v>
      </c>
      <c r="J18" s="21">
        <f t="shared" si="1"/>
        <v>0</v>
      </c>
      <c r="K18" s="21">
        <f t="shared" si="2"/>
        <v>10000</v>
      </c>
      <c r="M18" s="25" t="s">
        <v>155</v>
      </c>
    </row>
    <row r="19" spans="2:17" x14ac:dyDescent="0.2">
      <c r="B19" s="30">
        <v>6</v>
      </c>
      <c r="C19" s="21">
        <f>IF(B19=0,'01_Supuestos'!$D$7,0)</f>
        <v>0</v>
      </c>
      <c r="D19" s="21">
        <f>IF(AND(B19&gt;=1,B19&lt;='01_Supuestos'!$D$10),'01_Supuestos'!$D$9,0)</f>
        <v>10000</v>
      </c>
      <c r="E19" s="21">
        <f t="shared" si="0"/>
        <v>10000</v>
      </c>
      <c r="F19" s="21">
        <f>IF(AND(B19&gt;='01_Supuestos'!$D$19,B19&lt;'01_Supuestos'!$D$19+'01_Supuestos'!$D$17),-'01_Supuestos'!$D$18,0)</f>
        <v>0</v>
      </c>
      <c r="G19" s="21">
        <f>IF(AND(B19&gt;='01_Supuestos'!$D$20,B19&lt;'01_Supuestos'!$D$20+'01_Supuestos'!$D$17),-'01_Supuestos'!$D$18,0)</f>
        <v>0</v>
      </c>
      <c r="H19" s="21">
        <f>IF(B19='01_Supuestos'!$D$22,-'01_Supuestos'!$D$21*'01_Supuestos'!$D$13,0)</f>
        <v>0</v>
      </c>
      <c r="I19" s="21">
        <f>IF(B19='01_Supuestos'!$D$24,-'01_Supuestos'!$D$23,0)</f>
        <v>0</v>
      </c>
      <c r="J19" s="21">
        <f t="shared" si="1"/>
        <v>0</v>
      </c>
      <c r="K19" s="21">
        <f t="shared" si="2"/>
        <v>10000</v>
      </c>
      <c r="M19" s="4" t="s">
        <v>141</v>
      </c>
      <c r="N19" s="4" t="s">
        <v>156</v>
      </c>
      <c r="O19" s="4" t="s">
        <v>157</v>
      </c>
      <c r="P19" s="4" t="s">
        <v>158</v>
      </c>
      <c r="Q19" s="4" t="s">
        <v>159</v>
      </c>
    </row>
    <row r="20" spans="2:17" x14ac:dyDescent="0.2">
      <c r="B20" s="30">
        <v>7</v>
      </c>
      <c r="C20" s="21">
        <f>IF(B20=0,'01_Supuestos'!$D$7,0)</f>
        <v>0</v>
      </c>
      <c r="D20" s="21">
        <f>IF(AND(B20&gt;=1,B20&lt;='01_Supuestos'!$D$10),'01_Supuestos'!$D$9,0)</f>
        <v>10000</v>
      </c>
      <c r="E20" s="21">
        <f t="shared" si="0"/>
        <v>10000</v>
      </c>
      <c r="F20" s="21">
        <f>IF(AND(B20&gt;='01_Supuestos'!$D$19,B20&lt;'01_Supuestos'!$D$19+'01_Supuestos'!$D$17),-'01_Supuestos'!$D$18,0)</f>
        <v>0</v>
      </c>
      <c r="G20" s="21">
        <f>IF(AND(B20&gt;='01_Supuestos'!$D$20,B20&lt;'01_Supuestos'!$D$20+'01_Supuestos'!$D$17),-'01_Supuestos'!$D$18,0)</f>
        <v>0</v>
      </c>
      <c r="H20" s="21">
        <f>IF(B20='01_Supuestos'!$D$22,-'01_Supuestos'!$D$21*'01_Supuestos'!$D$13,0)</f>
        <v>0</v>
      </c>
      <c r="I20" s="21">
        <f>IF(B20='01_Supuestos'!$D$24,-'01_Supuestos'!$D$23,0)</f>
        <v>0</v>
      </c>
      <c r="J20" s="21">
        <f t="shared" si="1"/>
        <v>0</v>
      </c>
      <c r="K20" s="21">
        <f t="shared" si="2"/>
        <v>10000</v>
      </c>
      <c r="M20" s="31">
        <v>14</v>
      </c>
      <c r="N20" s="26" t="s">
        <v>160</v>
      </c>
      <c r="O20" s="32">
        <v>14257.98172784803</v>
      </c>
      <c r="P20" s="33">
        <v>318.26861871419482</v>
      </c>
      <c r="Q20" s="34">
        <v>13000000</v>
      </c>
    </row>
    <row r="21" spans="2:17" x14ac:dyDescent="0.2">
      <c r="B21" s="30">
        <v>8</v>
      </c>
      <c r="C21" s="21">
        <f>IF(B21=0,'01_Supuestos'!$D$7,0)</f>
        <v>0</v>
      </c>
      <c r="D21" s="21">
        <f>IF(AND(B21&gt;=1,B21&lt;='01_Supuestos'!$D$10),'01_Supuestos'!$D$9,0)</f>
        <v>10000</v>
      </c>
      <c r="E21" s="21">
        <f t="shared" si="0"/>
        <v>10000</v>
      </c>
      <c r="F21" s="21">
        <f>IF(AND(B21&gt;='01_Supuestos'!$D$19,B21&lt;'01_Supuestos'!$D$19+'01_Supuestos'!$D$17),-'01_Supuestos'!$D$18,0)</f>
        <v>0</v>
      </c>
      <c r="G21" s="21">
        <f>IF(AND(B21&gt;='01_Supuestos'!$D$20,B21&lt;'01_Supuestos'!$D$20+'01_Supuestos'!$D$17),-'01_Supuestos'!$D$18,0)</f>
        <v>0</v>
      </c>
      <c r="H21" s="21">
        <f>IF(B21='01_Supuestos'!$D$22,-'01_Supuestos'!$D$21*'01_Supuestos'!$D$13,0)</f>
        <v>0</v>
      </c>
      <c r="I21" s="21">
        <f>IF(B21='01_Supuestos'!$D$24,-'01_Supuestos'!$D$23,0)</f>
        <v>0</v>
      </c>
      <c r="J21" s="21">
        <f t="shared" si="1"/>
        <v>0</v>
      </c>
      <c r="K21" s="21">
        <f t="shared" si="2"/>
        <v>10000</v>
      </c>
      <c r="M21" s="31">
        <v>15</v>
      </c>
      <c r="N21" s="26" t="s">
        <v>160</v>
      </c>
      <c r="O21" s="32">
        <v>14257.98172784803</v>
      </c>
      <c r="P21" s="33">
        <v>318.26861871419482</v>
      </c>
      <c r="Q21" s="34">
        <v>13000000</v>
      </c>
    </row>
    <row r="22" spans="2:17" x14ac:dyDescent="0.2">
      <c r="B22" s="30">
        <v>9</v>
      </c>
      <c r="C22" s="21">
        <f>IF(B22=0,'01_Supuestos'!$D$7,0)</f>
        <v>0</v>
      </c>
      <c r="D22" s="21">
        <f>IF(AND(B22&gt;=1,B22&lt;='01_Supuestos'!$D$10),'01_Supuestos'!$D$9,0)</f>
        <v>10000</v>
      </c>
      <c r="E22" s="21">
        <f t="shared" si="0"/>
        <v>10000</v>
      </c>
      <c r="F22" s="21">
        <f>IF(AND(B22&gt;='01_Supuestos'!$D$19,B22&lt;'01_Supuestos'!$D$19+'01_Supuestos'!$D$17),-'01_Supuestos'!$D$18,0)</f>
        <v>0</v>
      </c>
      <c r="G22" s="21">
        <f>IF(AND(B22&gt;='01_Supuestos'!$D$20,B22&lt;'01_Supuestos'!$D$20+'01_Supuestos'!$D$17),-'01_Supuestos'!$D$18,0)</f>
        <v>0</v>
      </c>
      <c r="H22" s="21">
        <f>IF(B22='01_Supuestos'!$D$22,-'01_Supuestos'!$D$21*'01_Supuestos'!$D$13,0)</f>
        <v>0</v>
      </c>
      <c r="I22" s="21">
        <f>IF(B22='01_Supuestos'!$D$24,-'01_Supuestos'!$D$23,0)</f>
        <v>0</v>
      </c>
      <c r="J22" s="21">
        <f t="shared" si="1"/>
        <v>0</v>
      </c>
      <c r="K22" s="21">
        <f t="shared" si="2"/>
        <v>10000</v>
      </c>
      <c r="M22" s="31">
        <v>16</v>
      </c>
      <c r="N22" s="26" t="s">
        <v>160</v>
      </c>
      <c r="O22" s="32">
        <v>28515.96345569607</v>
      </c>
      <c r="P22" s="33">
        <v>636.53723742838963</v>
      </c>
      <c r="Q22" s="34">
        <v>26000000</v>
      </c>
    </row>
    <row r="23" spans="2:17" x14ac:dyDescent="0.2">
      <c r="B23" s="30">
        <v>10</v>
      </c>
      <c r="C23" s="21">
        <f>IF(B23=0,'01_Supuestos'!$D$7,0)</f>
        <v>0</v>
      </c>
      <c r="D23" s="21">
        <f>IF(AND(B23&gt;=1,B23&lt;='01_Supuestos'!$D$10),'01_Supuestos'!$D$9,0)</f>
        <v>10000</v>
      </c>
      <c r="E23" s="21">
        <f t="shared" si="0"/>
        <v>10000</v>
      </c>
      <c r="F23" s="21">
        <f>IF(AND(B23&gt;='01_Supuestos'!$D$19,B23&lt;'01_Supuestos'!$D$19+'01_Supuestos'!$D$17),-'01_Supuestos'!$D$18,0)</f>
        <v>0</v>
      </c>
      <c r="G23" s="21">
        <f>IF(AND(B23&gt;='01_Supuestos'!$D$20,B23&lt;'01_Supuestos'!$D$20+'01_Supuestos'!$D$17),-'01_Supuestos'!$D$18,0)</f>
        <v>0</v>
      </c>
      <c r="H23" s="21">
        <f>IF(B23='01_Supuestos'!$D$22,-'01_Supuestos'!$D$21*'01_Supuestos'!$D$13,0)</f>
        <v>0</v>
      </c>
      <c r="I23" s="21">
        <f>IF(B23='01_Supuestos'!$D$24,-'01_Supuestos'!$D$23,0)</f>
        <v>0</v>
      </c>
      <c r="J23" s="21">
        <f t="shared" si="1"/>
        <v>0</v>
      </c>
      <c r="K23" s="21">
        <f t="shared" si="2"/>
        <v>10000</v>
      </c>
      <c r="M23" s="31">
        <v>17</v>
      </c>
      <c r="N23" s="26" t="s">
        <v>160</v>
      </c>
      <c r="O23" s="32">
        <v>28515.96345569607</v>
      </c>
      <c r="P23" s="33">
        <v>636.53723742838963</v>
      </c>
      <c r="Q23" s="34">
        <v>26000000</v>
      </c>
    </row>
    <row r="24" spans="2:17" x14ac:dyDescent="0.2">
      <c r="B24" s="30">
        <v>11</v>
      </c>
      <c r="C24" s="21">
        <f>IF(B24=0,'01_Supuestos'!$D$7,0)</f>
        <v>0</v>
      </c>
      <c r="D24" s="21">
        <f>IF(AND(B24&gt;=1,B24&lt;='01_Supuestos'!$D$10),'01_Supuestos'!$D$9,0)</f>
        <v>10000</v>
      </c>
      <c r="E24" s="21">
        <f t="shared" si="0"/>
        <v>10000</v>
      </c>
      <c r="F24" s="21">
        <f>IF(AND(B24&gt;='01_Supuestos'!$D$19,B24&lt;'01_Supuestos'!$D$19+'01_Supuestos'!$D$17),-'01_Supuestos'!$D$18,0)</f>
        <v>0</v>
      </c>
      <c r="G24" s="21">
        <f>IF(AND(B24&gt;='01_Supuestos'!$D$20,B24&lt;'01_Supuestos'!$D$20+'01_Supuestos'!$D$17),-'01_Supuestos'!$D$18,0)</f>
        <v>0</v>
      </c>
      <c r="H24" s="21">
        <f>IF(B24='01_Supuestos'!$D$22,-'01_Supuestos'!$D$21*'01_Supuestos'!$D$13,0)</f>
        <v>0</v>
      </c>
      <c r="I24" s="21">
        <f>IF(B24='01_Supuestos'!$D$24,-'01_Supuestos'!$D$23,0)</f>
        <v>0</v>
      </c>
      <c r="J24" s="21">
        <f t="shared" si="1"/>
        <v>0</v>
      </c>
      <c r="K24" s="21">
        <f t="shared" si="2"/>
        <v>10000</v>
      </c>
      <c r="M24" s="31">
        <v>18</v>
      </c>
      <c r="N24" s="26" t="s">
        <v>160</v>
      </c>
      <c r="O24" s="32">
        <v>28515.96345569607</v>
      </c>
      <c r="P24" s="33">
        <v>636.53723742838963</v>
      </c>
      <c r="Q24" s="34">
        <v>26000000</v>
      </c>
    </row>
    <row r="25" spans="2:17" x14ac:dyDescent="0.2">
      <c r="B25" s="30">
        <v>12</v>
      </c>
      <c r="C25" s="21">
        <f>IF(B25=0,'01_Supuestos'!$D$7,0)</f>
        <v>0</v>
      </c>
      <c r="D25" s="21">
        <f>IF(AND(B25&gt;=1,B25&lt;='01_Supuestos'!$D$10),'01_Supuestos'!$D$9,0)</f>
        <v>10000</v>
      </c>
      <c r="E25" s="21">
        <f t="shared" si="0"/>
        <v>10000</v>
      </c>
      <c r="F25" s="21">
        <f>IF(AND(B25&gt;='01_Supuestos'!$D$19,B25&lt;'01_Supuestos'!$D$19+'01_Supuestos'!$D$17),-'01_Supuestos'!$D$18,0)</f>
        <v>0</v>
      </c>
      <c r="G25" s="21">
        <f>IF(AND(B25&gt;='01_Supuestos'!$D$20,B25&lt;'01_Supuestos'!$D$20+'01_Supuestos'!$D$17),-'01_Supuestos'!$D$18,0)</f>
        <v>0</v>
      </c>
      <c r="H25" s="21">
        <f>IF(B25='01_Supuestos'!$D$22,-'01_Supuestos'!$D$21*'01_Supuestos'!$D$13,0)</f>
        <v>0</v>
      </c>
      <c r="I25" s="21">
        <f>IF(B25='01_Supuestos'!$D$24,-'01_Supuestos'!$D$23,0)</f>
        <v>0</v>
      </c>
      <c r="J25" s="21">
        <f t="shared" si="1"/>
        <v>0</v>
      </c>
      <c r="K25" s="21">
        <f t="shared" si="2"/>
        <v>10000</v>
      </c>
      <c r="M25" s="31">
        <v>19</v>
      </c>
      <c r="N25" s="26" t="s">
        <v>160</v>
      </c>
      <c r="O25" s="32">
        <v>14257.98172784803</v>
      </c>
      <c r="P25" s="33">
        <v>318.26861871419482</v>
      </c>
      <c r="Q25" s="34">
        <v>13000000</v>
      </c>
    </row>
    <row r="26" spans="2:17" x14ac:dyDescent="0.2">
      <c r="B26" s="30">
        <v>13</v>
      </c>
      <c r="C26" s="21">
        <f>IF(B26=0,'01_Supuestos'!$D$7,0)</f>
        <v>0</v>
      </c>
      <c r="D26" s="21">
        <f>IF(AND(B26&gt;=1,B26&lt;='01_Supuestos'!$D$10),'01_Supuestos'!$D$9,0)</f>
        <v>10000</v>
      </c>
      <c r="E26" s="21">
        <f t="shared" si="0"/>
        <v>10000</v>
      </c>
      <c r="F26" s="21">
        <f>IF(AND(B26&gt;='01_Supuestos'!$D$19,B26&lt;'01_Supuestos'!$D$19+'01_Supuestos'!$D$17),-'01_Supuestos'!$D$18,0)</f>
        <v>0</v>
      </c>
      <c r="G26" s="21">
        <f>IF(AND(B26&gt;='01_Supuestos'!$D$20,B26&lt;'01_Supuestos'!$D$20+'01_Supuestos'!$D$17),-'01_Supuestos'!$D$18,0)</f>
        <v>0</v>
      </c>
      <c r="H26" s="21">
        <f>IF(B26='01_Supuestos'!$D$22,-'01_Supuestos'!$D$21*'01_Supuestos'!$D$13,0)</f>
        <v>0</v>
      </c>
      <c r="I26" s="21">
        <f>IF(B26='01_Supuestos'!$D$24,-'01_Supuestos'!$D$23,0)</f>
        <v>0</v>
      </c>
      <c r="J26" s="21">
        <f t="shared" si="1"/>
        <v>0</v>
      </c>
      <c r="K26" s="21">
        <f t="shared" si="2"/>
        <v>10000</v>
      </c>
      <c r="M26" s="31">
        <v>20</v>
      </c>
      <c r="N26" s="26" t="s">
        <v>160</v>
      </c>
      <c r="O26" s="32">
        <v>14257.98172784803</v>
      </c>
      <c r="P26" s="33">
        <v>318.26861871419482</v>
      </c>
      <c r="Q26" s="34">
        <v>13000000</v>
      </c>
    </row>
    <row r="27" spans="2:17" x14ac:dyDescent="0.2">
      <c r="B27" s="30">
        <v>14</v>
      </c>
      <c r="C27" s="21">
        <f>IF(B27=0,'01_Supuestos'!$D$7,0)</f>
        <v>0</v>
      </c>
      <c r="D27" s="21">
        <f>IF(AND(B27&gt;=1,B27&lt;='01_Supuestos'!$D$10),'01_Supuestos'!$D$9,0)</f>
        <v>10000</v>
      </c>
      <c r="E27" s="21">
        <f t="shared" si="0"/>
        <v>10000</v>
      </c>
      <c r="F27" s="21">
        <f>IF(AND(B27&gt;='01_Supuestos'!$D$19,B27&lt;'01_Supuestos'!$D$19+'01_Supuestos'!$D$17),-'01_Supuestos'!$D$18,0)</f>
        <v>-14257.981727848033</v>
      </c>
      <c r="G27" s="21">
        <f>IF(AND(B27&gt;='01_Supuestos'!$D$20,B27&lt;'01_Supuestos'!$D$20+'01_Supuestos'!$D$17),-'01_Supuestos'!$D$18,0)</f>
        <v>0</v>
      </c>
      <c r="H27" s="21">
        <f>IF(B27='01_Supuestos'!$D$22,-'01_Supuestos'!$D$21*'01_Supuestos'!$D$13,0)</f>
        <v>0</v>
      </c>
      <c r="I27" s="21">
        <f>IF(B27='01_Supuestos'!$D$24,-'01_Supuestos'!$D$23,0)</f>
        <v>0</v>
      </c>
      <c r="J27" s="21">
        <f t="shared" si="1"/>
        <v>-14257.981727848033</v>
      </c>
      <c r="K27" s="21">
        <f t="shared" si="2"/>
        <v>-4257.9817278480332</v>
      </c>
      <c r="M27" s="31">
        <v>25</v>
      </c>
      <c r="N27" s="26" t="s">
        <v>161</v>
      </c>
      <c r="O27" s="32">
        <v>470385.07518343441</v>
      </c>
      <c r="P27" s="33">
        <v>10500</v>
      </c>
      <c r="Q27" s="34">
        <v>428883000</v>
      </c>
    </row>
    <row r="28" spans="2:17" x14ac:dyDescent="0.2">
      <c r="B28" s="30">
        <v>15</v>
      </c>
      <c r="C28" s="21">
        <f>IF(B28=0,'01_Supuestos'!$D$7,0)</f>
        <v>0</v>
      </c>
      <c r="D28" s="21">
        <f>IF(AND(B28&gt;=1,B28&lt;='01_Supuestos'!$D$10),'01_Supuestos'!$D$9,0)</f>
        <v>10000</v>
      </c>
      <c r="E28" s="21">
        <f t="shared" si="0"/>
        <v>10000</v>
      </c>
      <c r="F28" s="21">
        <f>IF(AND(B28&gt;='01_Supuestos'!$D$19,B28&lt;'01_Supuestos'!$D$19+'01_Supuestos'!$D$17),-'01_Supuestos'!$D$18,0)</f>
        <v>-14257.981727848033</v>
      </c>
      <c r="G28" s="21">
        <f>IF(AND(B28&gt;='01_Supuestos'!$D$20,B28&lt;'01_Supuestos'!$D$20+'01_Supuestos'!$D$17),-'01_Supuestos'!$D$18,0)</f>
        <v>0</v>
      </c>
      <c r="H28" s="21">
        <f>IF(B28='01_Supuestos'!$D$22,-'01_Supuestos'!$D$21*'01_Supuestos'!$D$13,0)</f>
        <v>0</v>
      </c>
      <c r="I28" s="21">
        <f>IF(B28='01_Supuestos'!$D$24,-'01_Supuestos'!$D$23,0)</f>
        <v>0</v>
      </c>
      <c r="J28" s="21">
        <f t="shared" si="1"/>
        <v>-14257.981727848033</v>
      </c>
      <c r="K28" s="21">
        <f t="shared" si="2"/>
        <v>-4257.9817278480332</v>
      </c>
      <c r="M28" s="31">
        <v>50</v>
      </c>
      <c r="N28" s="26" t="s">
        <v>162</v>
      </c>
      <c r="O28" s="32">
        <v>500000</v>
      </c>
      <c r="P28" s="33">
        <v>11161.06840327082</v>
      </c>
      <c r="Q28" s="34">
        <v>455885000</v>
      </c>
    </row>
    <row r="29" spans="2:17" x14ac:dyDescent="0.2">
      <c r="B29" s="30">
        <v>16</v>
      </c>
      <c r="C29" s="21">
        <f>IF(B29=0,'01_Supuestos'!$D$7,0)</f>
        <v>0</v>
      </c>
      <c r="D29" s="21">
        <f>IF(AND(B29&gt;=1,B29&lt;='01_Supuestos'!$D$10),'01_Supuestos'!$D$9,0)</f>
        <v>10000</v>
      </c>
      <c r="E29" s="21">
        <f t="shared" si="0"/>
        <v>10000</v>
      </c>
      <c r="F29" s="21">
        <f>IF(AND(B29&gt;='01_Supuestos'!$D$19,B29&lt;'01_Supuestos'!$D$19+'01_Supuestos'!$D$17),-'01_Supuestos'!$D$18,0)</f>
        <v>-14257.981727848033</v>
      </c>
      <c r="G29" s="21">
        <f>IF(AND(B29&gt;='01_Supuestos'!$D$20,B29&lt;'01_Supuestos'!$D$20+'01_Supuestos'!$D$17),-'01_Supuestos'!$D$18,0)</f>
        <v>-14257.981727848033</v>
      </c>
      <c r="H29" s="21">
        <f>IF(B29='01_Supuestos'!$D$22,-'01_Supuestos'!$D$21*'01_Supuestos'!$D$13,0)</f>
        <v>0</v>
      </c>
      <c r="I29" s="21">
        <f>IF(B29='01_Supuestos'!$D$24,-'01_Supuestos'!$D$23,0)</f>
        <v>0</v>
      </c>
      <c r="J29" s="21">
        <f t="shared" si="1"/>
        <v>-28515.963455696066</v>
      </c>
      <c r="K29" s="21">
        <f t="shared" si="2"/>
        <v>-18515.963455696066</v>
      </c>
    </row>
    <row r="30" spans="2:17" x14ac:dyDescent="0.2">
      <c r="B30" s="30">
        <v>17</v>
      </c>
      <c r="C30" s="21">
        <f>IF(B30=0,'01_Supuestos'!$D$7,0)</f>
        <v>0</v>
      </c>
      <c r="D30" s="21">
        <f>IF(AND(B30&gt;=1,B30&lt;='01_Supuestos'!$D$10),'01_Supuestos'!$D$9,0)</f>
        <v>10000</v>
      </c>
      <c r="E30" s="21">
        <f t="shared" si="0"/>
        <v>10000</v>
      </c>
      <c r="F30" s="21">
        <f>IF(AND(B30&gt;='01_Supuestos'!$D$19,B30&lt;'01_Supuestos'!$D$19+'01_Supuestos'!$D$17),-'01_Supuestos'!$D$18,0)</f>
        <v>-14257.981727848033</v>
      </c>
      <c r="G30" s="21">
        <f>IF(AND(B30&gt;='01_Supuestos'!$D$20,B30&lt;'01_Supuestos'!$D$20+'01_Supuestos'!$D$17),-'01_Supuestos'!$D$18,0)</f>
        <v>-14257.981727848033</v>
      </c>
      <c r="H30" s="21">
        <f>IF(B30='01_Supuestos'!$D$22,-'01_Supuestos'!$D$21*'01_Supuestos'!$D$13,0)</f>
        <v>0</v>
      </c>
      <c r="I30" s="21">
        <f>IF(B30='01_Supuestos'!$D$24,-'01_Supuestos'!$D$23,0)</f>
        <v>0</v>
      </c>
      <c r="J30" s="21">
        <f t="shared" si="1"/>
        <v>-28515.963455696066</v>
      </c>
      <c r="K30" s="21">
        <f t="shared" si="2"/>
        <v>-18515.963455696066</v>
      </c>
    </row>
    <row r="31" spans="2:17" x14ac:dyDescent="0.2">
      <c r="B31" s="30">
        <v>18</v>
      </c>
      <c r="C31" s="21">
        <f>IF(B31=0,'01_Supuestos'!$D$7,0)</f>
        <v>0</v>
      </c>
      <c r="D31" s="21">
        <f>IF(AND(B31&gt;=1,B31&lt;='01_Supuestos'!$D$10),'01_Supuestos'!$D$9,0)</f>
        <v>10000</v>
      </c>
      <c r="E31" s="21">
        <f t="shared" si="0"/>
        <v>10000</v>
      </c>
      <c r="F31" s="21">
        <f>IF(AND(B31&gt;='01_Supuestos'!$D$19,B31&lt;'01_Supuestos'!$D$19+'01_Supuestos'!$D$17),-'01_Supuestos'!$D$18,0)</f>
        <v>-14257.981727848033</v>
      </c>
      <c r="G31" s="21">
        <f>IF(AND(B31&gt;='01_Supuestos'!$D$20,B31&lt;'01_Supuestos'!$D$20+'01_Supuestos'!$D$17),-'01_Supuestos'!$D$18,0)</f>
        <v>-14257.981727848033</v>
      </c>
      <c r="H31" s="21">
        <f>IF(B31='01_Supuestos'!$D$22,-'01_Supuestos'!$D$21*'01_Supuestos'!$D$13,0)</f>
        <v>0</v>
      </c>
      <c r="I31" s="21">
        <f>IF(B31='01_Supuestos'!$D$24,-'01_Supuestos'!$D$23,0)</f>
        <v>0</v>
      </c>
      <c r="J31" s="21">
        <f t="shared" si="1"/>
        <v>-28515.963455696066</v>
      </c>
      <c r="K31" s="21">
        <f t="shared" si="2"/>
        <v>-18515.963455696066</v>
      </c>
    </row>
    <row r="32" spans="2:17" x14ac:dyDescent="0.2">
      <c r="B32" s="30">
        <v>19</v>
      </c>
      <c r="C32" s="21">
        <f>IF(B32=0,'01_Supuestos'!$D$7,0)</f>
        <v>0</v>
      </c>
      <c r="D32" s="21">
        <f>IF(AND(B32&gt;=1,B32&lt;='01_Supuestos'!$D$10),'01_Supuestos'!$D$9,0)</f>
        <v>10000</v>
      </c>
      <c r="E32" s="21">
        <f t="shared" si="0"/>
        <v>10000</v>
      </c>
      <c r="F32" s="21">
        <f>IF(AND(B32&gt;='01_Supuestos'!$D$19,B32&lt;'01_Supuestos'!$D$19+'01_Supuestos'!$D$17),-'01_Supuestos'!$D$18,0)</f>
        <v>0</v>
      </c>
      <c r="G32" s="21">
        <f>IF(AND(B32&gt;='01_Supuestos'!$D$20,B32&lt;'01_Supuestos'!$D$20+'01_Supuestos'!$D$17),-'01_Supuestos'!$D$18,0)</f>
        <v>-14257.981727848033</v>
      </c>
      <c r="H32" s="21">
        <f>IF(B32='01_Supuestos'!$D$22,-'01_Supuestos'!$D$21*'01_Supuestos'!$D$13,0)</f>
        <v>0</v>
      </c>
      <c r="I32" s="21">
        <f>IF(B32='01_Supuestos'!$D$24,-'01_Supuestos'!$D$23,0)</f>
        <v>0</v>
      </c>
      <c r="J32" s="21">
        <f t="shared" si="1"/>
        <v>-14257.981727848033</v>
      </c>
      <c r="K32" s="21">
        <f t="shared" si="2"/>
        <v>-4257.9817278480332</v>
      </c>
    </row>
    <row r="33" spans="2:13" x14ac:dyDescent="0.2">
      <c r="B33" s="30">
        <v>20</v>
      </c>
      <c r="C33" s="21">
        <f>IF(B33=0,'01_Supuestos'!$D$7,0)</f>
        <v>0</v>
      </c>
      <c r="D33" s="21">
        <f>IF(AND(B33&gt;=1,B33&lt;='01_Supuestos'!$D$10),'01_Supuestos'!$D$9,0)</f>
        <v>0</v>
      </c>
      <c r="E33" s="21">
        <f t="shared" si="0"/>
        <v>0</v>
      </c>
      <c r="F33" s="21">
        <f>IF(AND(B33&gt;='01_Supuestos'!$D$19,B33&lt;'01_Supuestos'!$D$19+'01_Supuestos'!$D$17),-'01_Supuestos'!$D$18,0)</f>
        <v>0</v>
      </c>
      <c r="G33" s="21">
        <f>IF(AND(B33&gt;='01_Supuestos'!$D$20,B33&lt;'01_Supuestos'!$D$20+'01_Supuestos'!$D$17),-'01_Supuestos'!$D$18,0)</f>
        <v>-14257.981727848033</v>
      </c>
      <c r="H33" s="21">
        <f>IF(B33='01_Supuestos'!$D$22,-'01_Supuestos'!$D$21*'01_Supuestos'!$D$13,0)</f>
        <v>0</v>
      </c>
      <c r="I33" s="21">
        <f>IF(B33='01_Supuestos'!$D$24,-'01_Supuestos'!$D$23,0)</f>
        <v>0</v>
      </c>
      <c r="J33" s="21">
        <f t="shared" si="1"/>
        <v>-14257.981727848033</v>
      </c>
      <c r="K33" s="21">
        <f t="shared" si="2"/>
        <v>-14257.981727848033</v>
      </c>
      <c r="M33" s="15" t="s">
        <v>163</v>
      </c>
    </row>
    <row r="34" spans="2:13" x14ac:dyDescent="0.2">
      <c r="B34" s="30">
        <v>21</v>
      </c>
      <c r="C34" s="21">
        <f>IF(B34=0,'01_Supuestos'!$D$7,0)</f>
        <v>0</v>
      </c>
      <c r="D34" s="21">
        <f>IF(AND(B34&gt;=1,B34&lt;='01_Supuestos'!$D$10),'01_Supuestos'!$D$9,0)</f>
        <v>0</v>
      </c>
      <c r="E34" s="21">
        <f t="shared" si="0"/>
        <v>0</v>
      </c>
      <c r="F34" s="21">
        <f>IF(AND(B34&gt;='01_Supuestos'!$D$19,B34&lt;'01_Supuestos'!$D$19+'01_Supuestos'!$D$17),-'01_Supuestos'!$D$18,0)</f>
        <v>0</v>
      </c>
      <c r="G34" s="21">
        <f>IF(AND(B34&gt;='01_Supuestos'!$D$20,B34&lt;'01_Supuestos'!$D$20+'01_Supuestos'!$D$17),-'01_Supuestos'!$D$18,0)</f>
        <v>0</v>
      </c>
      <c r="H34" s="21">
        <f>IF(B34='01_Supuestos'!$D$22,-'01_Supuestos'!$D$21*'01_Supuestos'!$D$13,0)</f>
        <v>0</v>
      </c>
      <c r="I34" s="21">
        <f>IF(B34='01_Supuestos'!$D$24,-'01_Supuestos'!$D$23,0)</f>
        <v>0</v>
      </c>
      <c r="J34" s="21">
        <f t="shared" si="1"/>
        <v>0</v>
      </c>
      <c r="K34" s="21">
        <f t="shared" si="2"/>
        <v>0</v>
      </c>
    </row>
    <row r="35" spans="2:13" x14ac:dyDescent="0.2">
      <c r="B35" s="30">
        <v>22</v>
      </c>
      <c r="C35" s="21">
        <f>IF(B35=0,'01_Supuestos'!$D$7,0)</f>
        <v>0</v>
      </c>
      <c r="D35" s="21">
        <f>IF(AND(B35&gt;=1,B35&lt;='01_Supuestos'!$D$10),'01_Supuestos'!$D$9,0)</f>
        <v>0</v>
      </c>
      <c r="E35" s="21">
        <f t="shared" si="0"/>
        <v>0</v>
      </c>
      <c r="F35" s="21">
        <f>IF(AND(B35&gt;='01_Supuestos'!$D$19,B35&lt;'01_Supuestos'!$D$19+'01_Supuestos'!$D$17),-'01_Supuestos'!$D$18,0)</f>
        <v>0</v>
      </c>
      <c r="G35" s="21">
        <f>IF(AND(B35&gt;='01_Supuestos'!$D$20,B35&lt;'01_Supuestos'!$D$20+'01_Supuestos'!$D$17),-'01_Supuestos'!$D$18,0)</f>
        <v>0</v>
      </c>
      <c r="H35" s="21">
        <f>IF(B35='01_Supuestos'!$D$22,-'01_Supuestos'!$D$21*'01_Supuestos'!$D$13,0)</f>
        <v>0</v>
      </c>
      <c r="I35" s="21">
        <f>IF(B35='01_Supuestos'!$D$24,-'01_Supuestos'!$D$23,0)</f>
        <v>0</v>
      </c>
      <c r="J35" s="21">
        <f t="shared" si="1"/>
        <v>0</v>
      </c>
      <c r="K35" s="21">
        <f t="shared" si="2"/>
        <v>0</v>
      </c>
    </row>
    <row r="36" spans="2:13" x14ac:dyDescent="0.2">
      <c r="B36" s="30">
        <v>23</v>
      </c>
      <c r="C36" s="21">
        <f>IF(B36=0,'01_Supuestos'!$D$7,0)</f>
        <v>0</v>
      </c>
      <c r="D36" s="21">
        <f>IF(AND(B36&gt;=1,B36&lt;='01_Supuestos'!$D$10),'01_Supuestos'!$D$9,0)</f>
        <v>0</v>
      </c>
      <c r="E36" s="21">
        <f t="shared" si="0"/>
        <v>0</v>
      </c>
      <c r="F36" s="21">
        <f>IF(AND(B36&gt;='01_Supuestos'!$D$19,B36&lt;'01_Supuestos'!$D$19+'01_Supuestos'!$D$17),-'01_Supuestos'!$D$18,0)</f>
        <v>0</v>
      </c>
      <c r="G36" s="21">
        <f>IF(AND(B36&gt;='01_Supuestos'!$D$20,B36&lt;'01_Supuestos'!$D$20+'01_Supuestos'!$D$17),-'01_Supuestos'!$D$18,0)</f>
        <v>0</v>
      </c>
      <c r="H36" s="21">
        <f>IF(B36='01_Supuestos'!$D$22,-'01_Supuestos'!$D$21*'01_Supuestos'!$D$13,0)</f>
        <v>0</v>
      </c>
      <c r="I36" s="21">
        <f>IF(B36='01_Supuestos'!$D$24,-'01_Supuestos'!$D$23,0)</f>
        <v>0</v>
      </c>
      <c r="J36" s="21">
        <f t="shared" si="1"/>
        <v>0</v>
      </c>
      <c r="K36" s="21">
        <f t="shared" si="2"/>
        <v>0</v>
      </c>
    </row>
    <row r="37" spans="2:13" x14ac:dyDescent="0.2">
      <c r="B37" s="30">
        <v>24</v>
      </c>
      <c r="C37" s="21">
        <f>IF(B37=0,'01_Supuestos'!$D$7,0)</f>
        <v>0</v>
      </c>
      <c r="D37" s="21">
        <f>IF(AND(B37&gt;=1,B37&lt;='01_Supuestos'!$D$10),'01_Supuestos'!$D$9,0)</f>
        <v>0</v>
      </c>
      <c r="E37" s="21">
        <f t="shared" si="0"/>
        <v>0</v>
      </c>
      <c r="F37" s="21">
        <f>IF(AND(B37&gt;='01_Supuestos'!$D$19,B37&lt;'01_Supuestos'!$D$19+'01_Supuestos'!$D$17),-'01_Supuestos'!$D$18,0)</f>
        <v>0</v>
      </c>
      <c r="G37" s="21">
        <f>IF(AND(B37&gt;='01_Supuestos'!$D$20,B37&lt;'01_Supuestos'!$D$20+'01_Supuestos'!$D$17),-'01_Supuestos'!$D$18,0)</f>
        <v>0</v>
      </c>
      <c r="H37" s="21">
        <f>IF(B37='01_Supuestos'!$D$22,-'01_Supuestos'!$D$21*'01_Supuestos'!$D$13,0)</f>
        <v>0</v>
      </c>
      <c r="I37" s="21">
        <f>IF(B37='01_Supuestos'!$D$24,-'01_Supuestos'!$D$23,0)</f>
        <v>0</v>
      </c>
      <c r="J37" s="21">
        <f t="shared" si="1"/>
        <v>0</v>
      </c>
      <c r="K37" s="21">
        <f t="shared" si="2"/>
        <v>0</v>
      </c>
    </row>
    <row r="38" spans="2:13" x14ac:dyDescent="0.2">
      <c r="B38" s="30">
        <v>25</v>
      </c>
      <c r="C38" s="21">
        <f>IF(B38=0,'01_Supuestos'!$D$7,0)</f>
        <v>0</v>
      </c>
      <c r="D38" s="21">
        <f>IF(AND(B38&gt;=1,B38&lt;='01_Supuestos'!$D$10),'01_Supuestos'!$D$9,0)</f>
        <v>0</v>
      </c>
      <c r="E38" s="21">
        <f t="shared" si="0"/>
        <v>0</v>
      </c>
      <c r="F38" s="21">
        <f>IF(AND(B38&gt;='01_Supuestos'!$D$19,B38&lt;'01_Supuestos'!$D$19+'01_Supuestos'!$D$17),-'01_Supuestos'!$D$18,0)</f>
        <v>0</v>
      </c>
      <c r="G38" s="21">
        <f>IF(AND(B38&gt;='01_Supuestos'!$D$20,B38&lt;'01_Supuestos'!$D$20+'01_Supuestos'!$D$17),-'01_Supuestos'!$D$18,0)</f>
        <v>0</v>
      </c>
      <c r="H38" s="21">
        <f>IF(B38='01_Supuestos'!$D$22,-'01_Supuestos'!$D$21*'01_Supuestos'!$D$13,0)</f>
        <v>-470385.07518343441</v>
      </c>
      <c r="I38" s="21">
        <f>IF(B38='01_Supuestos'!$D$24,-'01_Supuestos'!$D$23,0)</f>
        <v>0</v>
      </c>
      <c r="J38" s="21">
        <f t="shared" si="1"/>
        <v>-470385.07518343441</v>
      </c>
      <c r="K38" s="21">
        <f t="shared" si="2"/>
        <v>-470385.07518343441</v>
      </c>
    </row>
    <row r="39" spans="2:13" x14ac:dyDescent="0.2">
      <c r="B39" s="30">
        <v>26</v>
      </c>
      <c r="C39" s="21">
        <f>IF(B39=0,'01_Supuestos'!$D$7,0)</f>
        <v>0</v>
      </c>
      <c r="D39" s="21">
        <f>IF(AND(B39&gt;=1,B39&lt;='01_Supuestos'!$D$10),'01_Supuestos'!$D$9,0)</f>
        <v>0</v>
      </c>
      <c r="E39" s="21">
        <f t="shared" si="0"/>
        <v>0</v>
      </c>
      <c r="F39" s="21">
        <f>IF(AND(B39&gt;='01_Supuestos'!$D$19,B39&lt;'01_Supuestos'!$D$19+'01_Supuestos'!$D$17),-'01_Supuestos'!$D$18,0)</f>
        <v>0</v>
      </c>
      <c r="G39" s="21">
        <f>IF(AND(B39&gt;='01_Supuestos'!$D$20,B39&lt;'01_Supuestos'!$D$20+'01_Supuestos'!$D$17),-'01_Supuestos'!$D$18,0)</f>
        <v>0</v>
      </c>
      <c r="H39" s="21">
        <f>IF(B39='01_Supuestos'!$D$22,-'01_Supuestos'!$D$21*'01_Supuestos'!$D$13,0)</f>
        <v>0</v>
      </c>
      <c r="I39" s="21">
        <f>IF(B39='01_Supuestos'!$D$24,-'01_Supuestos'!$D$23,0)</f>
        <v>0</v>
      </c>
      <c r="J39" s="21">
        <f t="shared" si="1"/>
        <v>0</v>
      </c>
      <c r="K39" s="21">
        <f t="shared" si="2"/>
        <v>0</v>
      </c>
    </row>
    <row r="40" spans="2:13" x14ac:dyDescent="0.2">
      <c r="B40" s="30">
        <v>27</v>
      </c>
      <c r="C40" s="21">
        <f>IF(B40=0,'01_Supuestos'!$D$7,0)</f>
        <v>0</v>
      </c>
      <c r="D40" s="21">
        <f>IF(AND(B40&gt;=1,B40&lt;='01_Supuestos'!$D$10),'01_Supuestos'!$D$9,0)</f>
        <v>0</v>
      </c>
      <c r="E40" s="21">
        <f t="shared" si="0"/>
        <v>0</v>
      </c>
      <c r="F40" s="21">
        <f>IF(AND(B40&gt;='01_Supuestos'!$D$19,B40&lt;'01_Supuestos'!$D$19+'01_Supuestos'!$D$17),-'01_Supuestos'!$D$18,0)</f>
        <v>0</v>
      </c>
      <c r="G40" s="21">
        <f>IF(AND(B40&gt;='01_Supuestos'!$D$20,B40&lt;'01_Supuestos'!$D$20+'01_Supuestos'!$D$17),-'01_Supuestos'!$D$18,0)</f>
        <v>0</v>
      </c>
      <c r="H40" s="21">
        <f>IF(B40='01_Supuestos'!$D$22,-'01_Supuestos'!$D$21*'01_Supuestos'!$D$13,0)</f>
        <v>0</v>
      </c>
      <c r="I40" s="21">
        <f>IF(B40='01_Supuestos'!$D$24,-'01_Supuestos'!$D$23,0)</f>
        <v>0</v>
      </c>
      <c r="J40" s="21">
        <f t="shared" si="1"/>
        <v>0</v>
      </c>
      <c r="K40" s="21">
        <f t="shared" si="2"/>
        <v>0</v>
      </c>
    </row>
    <row r="41" spans="2:13" x14ac:dyDescent="0.2">
      <c r="B41" s="30">
        <v>28</v>
      </c>
      <c r="C41" s="21">
        <f>IF(B41=0,'01_Supuestos'!$D$7,0)</f>
        <v>0</v>
      </c>
      <c r="D41" s="21">
        <f>IF(AND(B41&gt;=1,B41&lt;='01_Supuestos'!$D$10),'01_Supuestos'!$D$9,0)</f>
        <v>0</v>
      </c>
      <c r="E41" s="21">
        <f t="shared" si="0"/>
        <v>0</v>
      </c>
      <c r="F41" s="21">
        <f>IF(AND(B41&gt;='01_Supuestos'!$D$19,B41&lt;'01_Supuestos'!$D$19+'01_Supuestos'!$D$17),-'01_Supuestos'!$D$18,0)</f>
        <v>0</v>
      </c>
      <c r="G41" s="21">
        <f>IF(AND(B41&gt;='01_Supuestos'!$D$20,B41&lt;'01_Supuestos'!$D$20+'01_Supuestos'!$D$17),-'01_Supuestos'!$D$18,0)</f>
        <v>0</v>
      </c>
      <c r="H41" s="21">
        <f>IF(B41='01_Supuestos'!$D$22,-'01_Supuestos'!$D$21*'01_Supuestos'!$D$13,0)</f>
        <v>0</v>
      </c>
      <c r="I41" s="21">
        <f>IF(B41='01_Supuestos'!$D$24,-'01_Supuestos'!$D$23,0)</f>
        <v>0</v>
      </c>
      <c r="J41" s="21">
        <f t="shared" si="1"/>
        <v>0</v>
      </c>
      <c r="K41" s="21">
        <f t="shared" si="2"/>
        <v>0</v>
      </c>
    </row>
    <row r="42" spans="2:13" x14ac:dyDescent="0.2">
      <c r="B42" s="30">
        <v>29</v>
      </c>
      <c r="C42" s="21">
        <f>IF(B42=0,'01_Supuestos'!$D$7,0)</f>
        <v>0</v>
      </c>
      <c r="D42" s="21">
        <f>IF(AND(B42&gt;=1,B42&lt;='01_Supuestos'!$D$10),'01_Supuestos'!$D$9,0)</f>
        <v>0</v>
      </c>
      <c r="E42" s="21">
        <f t="shared" si="0"/>
        <v>0</v>
      </c>
      <c r="F42" s="21">
        <f>IF(AND(B42&gt;='01_Supuestos'!$D$19,B42&lt;'01_Supuestos'!$D$19+'01_Supuestos'!$D$17),-'01_Supuestos'!$D$18,0)</f>
        <v>0</v>
      </c>
      <c r="G42" s="21">
        <f>IF(AND(B42&gt;='01_Supuestos'!$D$20,B42&lt;'01_Supuestos'!$D$20+'01_Supuestos'!$D$17),-'01_Supuestos'!$D$18,0)</f>
        <v>0</v>
      </c>
      <c r="H42" s="21">
        <f>IF(B42='01_Supuestos'!$D$22,-'01_Supuestos'!$D$21*'01_Supuestos'!$D$13,0)</f>
        <v>0</v>
      </c>
      <c r="I42" s="21">
        <f>IF(B42='01_Supuestos'!$D$24,-'01_Supuestos'!$D$23,0)</f>
        <v>0</v>
      </c>
      <c r="J42" s="21">
        <f t="shared" si="1"/>
        <v>0</v>
      </c>
      <c r="K42" s="21">
        <f t="shared" si="2"/>
        <v>0</v>
      </c>
    </row>
    <row r="43" spans="2:13" x14ac:dyDescent="0.2">
      <c r="B43" s="30">
        <v>30</v>
      </c>
      <c r="C43" s="21">
        <f>IF(B43=0,'01_Supuestos'!$D$7,0)</f>
        <v>0</v>
      </c>
      <c r="D43" s="21">
        <f>IF(AND(B43&gt;=1,B43&lt;='01_Supuestos'!$D$10),'01_Supuestos'!$D$9,0)</f>
        <v>0</v>
      </c>
      <c r="E43" s="21">
        <f t="shared" si="0"/>
        <v>0</v>
      </c>
      <c r="F43" s="21">
        <f>IF(AND(B43&gt;='01_Supuestos'!$D$19,B43&lt;'01_Supuestos'!$D$19+'01_Supuestos'!$D$17),-'01_Supuestos'!$D$18,0)</f>
        <v>0</v>
      </c>
      <c r="G43" s="21">
        <f>IF(AND(B43&gt;='01_Supuestos'!$D$20,B43&lt;'01_Supuestos'!$D$20+'01_Supuestos'!$D$17),-'01_Supuestos'!$D$18,0)</f>
        <v>0</v>
      </c>
      <c r="H43" s="21">
        <f>IF(B43='01_Supuestos'!$D$22,-'01_Supuestos'!$D$21*'01_Supuestos'!$D$13,0)</f>
        <v>0</v>
      </c>
      <c r="I43" s="21">
        <f>IF(B43='01_Supuestos'!$D$24,-'01_Supuestos'!$D$23,0)</f>
        <v>0</v>
      </c>
      <c r="J43" s="21">
        <f t="shared" si="1"/>
        <v>0</v>
      </c>
      <c r="K43" s="21">
        <f t="shared" si="2"/>
        <v>0</v>
      </c>
    </row>
    <row r="44" spans="2:13" x14ac:dyDescent="0.2">
      <c r="B44" s="30">
        <v>31</v>
      </c>
      <c r="C44" s="21">
        <f>IF(B44=0,'01_Supuestos'!$D$7,0)</f>
        <v>0</v>
      </c>
      <c r="D44" s="21">
        <f>IF(AND(B44&gt;=1,B44&lt;='01_Supuestos'!$D$10),'01_Supuestos'!$D$9,0)</f>
        <v>0</v>
      </c>
      <c r="E44" s="21">
        <f t="shared" si="0"/>
        <v>0</v>
      </c>
      <c r="F44" s="21">
        <f>IF(AND(B44&gt;='01_Supuestos'!$D$19,B44&lt;'01_Supuestos'!$D$19+'01_Supuestos'!$D$17),-'01_Supuestos'!$D$18,0)</f>
        <v>0</v>
      </c>
      <c r="G44" s="21">
        <f>IF(AND(B44&gt;='01_Supuestos'!$D$20,B44&lt;'01_Supuestos'!$D$20+'01_Supuestos'!$D$17),-'01_Supuestos'!$D$18,0)</f>
        <v>0</v>
      </c>
      <c r="H44" s="21">
        <f>IF(B44='01_Supuestos'!$D$22,-'01_Supuestos'!$D$21*'01_Supuestos'!$D$13,0)</f>
        <v>0</v>
      </c>
      <c r="I44" s="21">
        <f>IF(B44='01_Supuestos'!$D$24,-'01_Supuestos'!$D$23,0)</f>
        <v>0</v>
      </c>
      <c r="J44" s="21">
        <f t="shared" si="1"/>
        <v>0</v>
      </c>
      <c r="K44" s="21">
        <f t="shared" si="2"/>
        <v>0</v>
      </c>
    </row>
    <row r="45" spans="2:13" x14ac:dyDescent="0.2">
      <c r="B45" s="30">
        <v>32</v>
      </c>
      <c r="C45" s="21">
        <f>IF(B45=0,'01_Supuestos'!$D$7,0)</f>
        <v>0</v>
      </c>
      <c r="D45" s="21">
        <f>IF(AND(B45&gt;=1,B45&lt;='01_Supuestos'!$D$10),'01_Supuestos'!$D$9,0)</f>
        <v>0</v>
      </c>
      <c r="E45" s="21">
        <f t="shared" ref="E45:E76" si="3">C45+D45</f>
        <v>0</v>
      </c>
      <c r="F45" s="21">
        <f>IF(AND(B45&gt;='01_Supuestos'!$D$19,B45&lt;'01_Supuestos'!$D$19+'01_Supuestos'!$D$17),-'01_Supuestos'!$D$18,0)</f>
        <v>0</v>
      </c>
      <c r="G45" s="21">
        <f>IF(AND(B45&gt;='01_Supuestos'!$D$20,B45&lt;'01_Supuestos'!$D$20+'01_Supuestos'!$D$17),-'01_Supuestos'!$D$18,0)</f>
        <v>0</v>
      </c>
      <c r="H45" s="21">
        <f>IF(B45='01_Supuestos'!$D$22,-'01_Supuestos'!$D$21*'01_Supuestos'!$D$13,0)</f>
        <v>0</v>
      </c>
      <c r="I45" s="21">
        <f>IF(B45='01_Supuestos'!$D$24,-'01_Supuestos'!$D$23,0)</f>
        <v>0</v>
      </c>
      <c r="J45" s="21">
        <f t="shared" ref="J45:J76" si="4">SUM(F45:I45)</f>
        <v>0</v>
      </c>
      <c r="K45" s="21">
        <f t="shared" ref="K45:K76" si="5">E45+J45</f>
        <v>0</v>
      </c>
    </row>
    <row r="46" spans="2:13" x14ac:dyDescent="0.2">
      <c r="B46" s="30">
        <v>33</v>
      </c>
      <c r="C46" s="21">
        <f>IF(B46=0,'01_Supuestos'!$D$7,0)</f>
        <v>0</v>
      </c>
      <c r="D46" s="21">
        <f>IF(AND(B46&gt;=1,B46&lt;='01_Supuestos'!$D$10),'01_Supuestos'!$D$9,0)</f>
        <v>0</v>
      </c>
      <c r="E46" s="21">
        <f t="shared" si="3"/>
        <v>0</v>
      </c>
      <c r="F46" s="21">
        <f>IF(AND(B46&gt;='01_Supuestos'!$D$19,B46&lt;'01_Supuestos'!$D$19+'01_Supuestos'!$D$17),-'01_Supuestos'!$D$18,0)</f>
        <v>0</v>
      </c>
      <c r="G46" s="21">
        <f>IF(AND(B46&gt;='01_Supuestos'!$D$20,B46&lt;'01_Supuestos'!$D$20+'01_Supuestos'!$D$17),-'01_Supuestos'!$D$18,0)</f>
        <v>0</v>
      </c>
      <c r="H46" s="21">
        <f>IF(B46='01_Supuestos'!$D$22,-'01_Supuestos'!$D$21*'01_Supuestos'!$D$13,0)</f>
        <v>0</v>
      </c>
      <c r="I46" s="21">
        <f>IF(B46='01_Supuestos'!$D$24,-'01_Supuestos'!$D$23,0)</f>
        <v>0</v>
      </c>
      <c r="J46" s="21">
        <f t="shared" si="4"/>
        <v>0</v>
      </c>
      <c r="K46" s="21">
        <f t="shared" si="5"/>
        <v>0</v>
      </c>
    </row>
    <row r="47" spans="2:13" x14ac:dyDescent="0.2">
      <c r="B47" s="30">
        <v>34</v>
      </c>
      <c r="C47" s="21">
        <f>IF(B47=0,'01_Supuestos'!$D$7,0)</f>
        <v>0</v>
      </c>
      <c r="D47" s="21">
        <f>IF(AND(B47&gt;=1,B47&lt;='01_Supuestos'!$D$10),'01_Supuestos'!$D$9,0)</f>
        <v>0</v>
      </c>
      <c r="E47" s="21">
        <f t="shared" si="3"/>
        <v>0</v>
      </c>
      <c r="F47" s="21">
        <f>IF(AND(B47&gt;='01_Supuestos'!$D$19,B47&lt;'01_Supuestos'!$D$19+'01_Supuestos'!$D$17),-'01_Supuestos'!$D$18,0)</f>
        <v>0</v>
      </c>
      <c r="G47" s="21">
        <f>IF(AND(B47&gt;='01_Supuestos'!$D$20,B47&lt;'01_Supuestos'!$D$20+'01_Supuestos'!$D$17),-'01_Supuestos'!$D$18,0)</f>
        <v>0</v>
      </c>
      <c r="H47" s="21">
        <f>IF(B47='01_Supuestos'!$D$22,-'01_Supuestos'!$D$21*'01_Supuestos'!$D$13,0)</f>
        <v>0</v>
      </c>
      <c r="I47" s="21">
        <f>IF(B47='01_Supuestos'!$D$24,-'01_Supuestos'!$D$23,0)</f>
        <v>0</v>
      </c>
      <c r="J47" s="21">
        <f t="shared" si="4"/>
        <v>0</v>
      </c>
      <c r="K47" s="21">
        <f t="shared" si="5"/>
        <v>0</v>
      </c>
    </row>
    <row r="48" spans="2:13" x14ac:dyDescent="0.2">
      <c r="B48" s="30">
        <v>35</v>
      </c>
      <c r="C48" s="21">
        <f>IF(B48=0,'01_Supuestos'!$D$7,0)</f>
        <v>0</v>
      </c>
      <c r="D48" s="21">
        <f>IF(AND(B48&gt;=1,B48&lt;='01_Supuestos'!$D$10),'01_Supuestos'!$D$9,0)</f>
        <v>0</v>
      </c>
      <c r="E48" s="21">
        <f t="shared" si="3"/>
        <v>0</v>
      </c>
      <c r="F48" s="21">
        <f>IF(AND(B48&gt;='01_Supuestos'!$D$19,B48&lt;'01_Supuestos'!$D$19+'01_Supuestos'!$D$17),-'01_Supuestos'!$D$18,0)</f>
        <v>0</v>
      </c>
      <c r="G48" s="21">
        <f>IF(AND(B48&gt;='01_Supuestos'!$D$20,B48&lt;'01_Supuestos'!$D$20+'01_Supuestos'!$D$17),-'01_Supuestos'!$D$18,0)</f>
        <v>0</v>
      </c>
      <c r="H48" s="21">
        <f>IF(B48='01_Supuestos'!$D$22,-'01_Supuestos'!$D$21*'01_Supuestos'!$D$13,0)</f>
        <v>0</v>
      </c>
      <c r="I48" s="21">
        <f>IF(B48='01_Supuestos'!$D$24,-'01_Supuestos'!$D$23,0)</f>
        <v>0</v>
      </c>
      <c r="J48" s="21">
        <f t="shared" si="4"/>
        <v>0</v>
      </c>
      <c r="K48" s="21">
        <f t="shared" si="5"/>
        <v>0</v>
      </c>
    </row>
    <row r="49" spans="2:11" x14ac:dyDescent="0.2">
      <c r="B49" s="30">
        <v>36</v>
      </c>
      <c r="C49" s="21">
        <f>IF(B49=0,'01_Supuestos'!$D$7,0)</f>
        <v>0</v>
      </c>
      <c r="D49" s="21">
        <f>IF(AND(B49&gt;=1,B49&lt;='01_Supuestos'!$D$10),'01_Supuestos'!$D$9,0)</f>
        <v>0</v>
      </c>
      <c r="E49" s="21">
        <f t="shared" si="3"/>
        <v>0</v>
      </c>
      <c r="F49" s="21">
        <f>IF(AND(B49&gt;='01_Supuestos'!$D$19,B49&lt;'01_Supuestos'!$D$19+'01_Supuestos'!$D$17),-'01_Supuestos'!$D$18,0)</f>
        <v>0</v>
      </c>
      <c r="G49" s="21">
        <f>IF(AND(B49&gt;='01_Supuestos'!$D$20,B49&lt;'01_Supuestos'!$D$20+'01_Supuestos'!$D$17),-'01_Supuestos'!$D$18,0)</f>
        <v>0</v>
      </c>
      <c r="H49" s="21">
        <f>IF(B49='01_Supuestos'!$D$22,-'01_Supuestos'!$D$21*'01_Supuestos'!$D$13,0)</f>
        <v>0</v>
      </c>
      <c r="I49" s="21">
        <f>IF(B49='01_Supuestos'!$D$24,-'01_Supuestos'!$D$23,0)</f>
        <v>0</v>
      </c>
      <c r="J49" s="21">
        <f t="shared" si="4"/>
        <v>0</v>
      </c>
      <c r="K49" s="21">
        <f t="shared" si="5"/>
        <v>0</v>
      </c>
    </row>
    <row r="50" spans="2:11" x14ac:dyDescent="0.2">
      <c r="B50" s="30">
        <v>37</v>
      </c>
      <c r="C50" s="21">
        <f>IF(B50=0,'01_Supuestos'!$D$7,0)</f>
        <v>0</v>
      </c>
      <c r="D50" s="21">
        <f>IF(AND(B50&gt;=1,B50&lt;='01_Supuestos'!$D$10),'01_Supuestos'!$D$9,0)</f>
        <v>0</v>
      </c>
      <c r="E50" s="21">
        <f t="shared" si="3"/>
        <v>0</v>
      </c>
      <c r="F50" s="21">
        <f>IF(AND(B50&gt;='01_Supuestos'!$D$19,B50&lt;'01_Supuestos'!$D$19+'01_Supuestos'!$D$17),-'01_Supuestos'!$D$18,0)</f>
        <v>0</v>
      </c>
      <c r="G50" s="21">
        <f>IF(AND(B50&gt;='01_Supuestos'!$D$20,B50&lt;'01_Supuestos'!$D$20+'01_Supuestos'!$D$17),-'01_Supuestos'!$D$18,0)</f>
        <v>0</v>
      </c>
      <c r="H50" s="21">
        <f>IF(B50='01_Supuestos'!$D$22,-'01_Supuestos'!$D$21*'01_Supuestos'!$D$13,0)</f>
        <v>0</v>
      </c>
      <c r="I50" s="21">
        <f>IF(B50='01_Supuestos'!$D$24,-'01_Supuestos'!$D$23,0)</f>
        <v>0</v>
      </c>
      <c r="J50" s="21">
        <f t="shared" si="4"/>
        <v>0</v>
      </c>
      <c r="K50" s="21">
        <f t="shared" si="5"/>
        <v>0</v>
      </c>
    </row>
    <row r="51" spans="2:11" x14ac:dyDescent="0.2">
      <c r="B51" s="30">
        <v>38</v>
      </c>
      <c r="C51" s="21">
        <f>IF(B51=0,'01_Supuestos'!$D$7,0)</f>
        <v>0</v>
      </c>
      <c r="D51" s="21">
        <f>IF(AND(B51&gt;=1,B51&lt;='01_Supuestos'!$D$10),'01_Supuestos'!$D$9,0)</f>
        <v>0</v>
      </c>
      <c r="E51" s="21">
        <f t="shared" si="3"/>
        <v>0</v>
      </c>
      <c r="F51" s="21">
        <f>IF(AND(B51&gt;='01_Supuestos'!$D$19,B51&lt;'01_Supuestos'!$D$19+'01_Supuestos'!$D$17),-'01_Supuestos'!$D$18,0)</f>
        <v>0</v>
      </c>
      <c r="G51" s="21">
        <f>IF(AND(B51&gt;='01_Supuestos'!$D$20,B51&lt;'01_Supuestos'!$D$20+'01_Supuestos'!$D$17),-'01_Supuestos'!$D$18,0)</f>
        <v>0</v>
      </c>
      <c r="H51" s="21">
        <f>IF(B51='01_Supuestos'!$D$22,-'01_Supuestos'!$D$21*'01_Supuestos'!$D$13,0)</f>
        <v>0</v>
      </c>
      <c r="I51" s="21">
        <f>IF(B51='01_Supuestos'!$D$24,-'01_Supuestos'!$D$23,0)</f>
        <v>0</v>
      </c>
      <c r="J51" s="21">
        <f t="shared" si="4"/>
        <v>0</v>
      </c>
      <c r="K51" s="21">
        <f t="shared" si="5"/>
        <v>0</v>
      </c>
    </row>
    <row r="52" spans="2:11" x14ac:dyDescent="0.2">
      <c r="B52" s="30">
        <v>39</v>
      </c>
      <c r="C52" s="21">
        <f>IF(B52=0,'01_Supuestos'!$D$7,0)</f>
        <v>0</v>
      </c>
      <c r="D52" s="21">
        <f>IF(AND(B52&gt;=1,B52&lt;='01_Supuestos'!$D$10),'01_Supuestos'!$D$9,0)</f>
        <v>0</v>
      </c>
      <c r="E52" s="21">
        <f t="shared" si="3"/>
        <v>0</v>
      </c>
      <c r="F52" s="21">
        <f>IF(AND(B52&gt;='01_Supuestos'!$D$19,B52&lt;'01_Supuestos'!$D$19+'01_Supuestos'!$D$17),-'01_Supuestos'!$D$18,0)</f>
        <v>0</v>
      </c>
      <c r="G52" s="21">
        <f>IF(AND(B52&gt;='01_Supuestos'!$D$20,B52&lt;'01_Supuestos'!$D$20+'01_Supuestos'!$D$17),-'01_Supuestos'!$D$18,0)</f>
        <v>0</v>
      </c>
      <c r="H52" s="21">
        <f>IF(B52='01_Supuestos'!$D$22,-'01_Supuestos'!$D$21*'01_Supuestos'!$D$13,0)</f>
        <v>0</v>
      </c>
      <c r="I52" s="21">
        <f>IF(B52='01_Supuestos'!$D$24,-'01_Supuestos'!$D$23,0)</f>
        <v>0</v>
      </c>
      <c r="J52" s="21">
        <f t="shared" si="4"/>
        <v>0</v>
      </c>
      <c r="K52" s="21">
        <f t="shared" si="5"/>
        <v>0</v>
      </c>
    </row>
    <row r="53" spans="2:11" x14ac:dyDescent="0.2">
      <c r="B53" s="30">
        <v>40</v>
      </c>
      <c r="C53" s="21">
        <f>IF(B53=0,'01_Supuestos'!$D$7,0)</f>
        <v>0</v>
      </c>
      <c r="D53" s="21">
        <f>IF(AND(B53&gt;=1,B53&lt;='01_Supuestos'!$D$10),'01_Supuestos'!$D$9,0)</f>
        <v>0</v>
      </c>
      <c r="E53" s="21">
        <f t="shared" si="3"/>
        <v>0</v>
      </c>
      <c r="F53" s="21">
        <f>IF(AND(B53&gt;='01_Supuestos'!$D$19,B53&lt;'01_Supuestos'!$D$19+'01_Supuestos'!$D$17),-'01_Supuestos'!$D$18,0)</f>
        <v>0</v>
      </c>
      <c r="G53" s="21">
        <f>IF(AND(B53&gt;='01_Supuestos'!$D$20,B53&lt;'01_Supuestos'!$D$20+'01_Supuestos'!$D$17),-'01_Supuestos'!$D$18,0)</f>
        <v>0</v>
      </c>
      <c r="H53" s="21">
        <f>IF(B53='01_Supuestos'!$D$22,-'01_Supuestos'!$D$21*'01_Supuestos'!$D$13,0)</f>
        <v>0</v>
      </c>
      <c r="I53" s="21">
        <f>IF(B53='01_Supuestos'!$D$24,-'01_Supuestos'!$D$23,0)</f>
        <v>0</v>
      </c>
      <c r="J53" s="21">
        <f t="shared" si="4"/>
        <v>0</v>
      </c>
      <c r="K53" s="21">
        <f t="shared" si="5"/>
        <v>0</v>
      </c>
    </row>
    <row r="54" spans="2:11" x14ac:dyDescent="0.2">
      <c r="B54" s="30">
        <v>41</v>
      </c>
      <c r="C54" s="21">
        <f>IF(B54=0,'01_Supuestos'!$D$7,0)</f>
        <v>0</v>
      </c>
      <c r="D54" s="21">
        <f>IF(AND(B54&gt;=1,B54&lt;='01_Supuestos'!$D$10),'01_Supuestos'!$D$9,0)</f>
        <v>0</v>
      </c>
      <c r="E54" s="21">
        <f t="shared" si="3"/>
        <v>0</v>
      </c>
      <c r="F54" s="21">
        <f>IF(AND(B54&gt;='01_Supuestos'!$D$19,B54&lt;'01_Supuestos'!$D$19+'01_Supuestos'!$D$17),-'01_Supuestos'!$D$18,0)</f>
        <v>0</v>
      </c>
      <c r="G54" s="21">
        <f>IF(AND(B54&gt;='01_Supuestos'!$D$20,B54&lt;'01_Supuestos'!$D$20+'01_Supuestos'!$D$17),-'01_Supuestos'!$D$18,0)</f>
        <v>0</v>
      </c>
      <c r="H54" s="21">
        <f>IF(B54='01_Supuestos'!$D$22,-'01_Supuestos'!$D$21*'01_Supuestos'!$D$13,0)</f>
        <v>0</v>
      </c>
      <c r="I54" s="21">
        <f>IF(B54='01_Supuestos'!$D$24,-'01_Supuestos'!$D$23,0)</f>
        <v>0</v>
      </c>
      <c r="J54" s="21">
        <f t="shared" si="4"/>
        <v>0</v>
      </c>
      <c r="K54" s="21">
        <f t="shared" si="5"/>
        <v>0</v>
      </c>
    </row>
    <row r="55" spans="2:11" x14ac:dyDescent="0.2">
      <c r="B55" s="30">
        <v>42</v>
      </c>
      <c r="C55" s="21">
        <f>IF(B55=0,'01_Supuestos'!$D$7,0)</f>
        <v>0</v>
      </c>
      <c r="D55" s="21">
        <f>IF(AND(B55&gt;=1,B55&lt;='01_Supuestos'!$D$10),'01_Supuestos'!$D$9,0)</f>
        <v>0</v>
      </c>
      <c r="E55" s="21">
        <f t="shared" si="3"/>
        <v>0</v>
      </c>
      <c r="F55" s="21">
        <f>IF(AND(B55&gt;='01_Supuestos'!$D$19,B55&lt;'01_Supuestos'!$D$19+'01_Supuestos'!$D$17),-'01_Supuestos'!$D$18,0)</f>
        <v>0</v>
      </c>
      <c r="G55" s="21">
        <f>IF(AND(B55&gt;='01_Supuestos'!$D$20,B55&lt;'01_Supuestos'!$D$20+'01_Supuestos'!$D$17),-'01_Supuestos'!$D$18,0)</f>
        <v>0</v>
      </c>
      <c r="H55" s="21">
        <f>IF(B55='01_Supuestos'!$D$22,-'01_Supuestos'!$D$21*'01_Supuestos'!$D$13,0)</f>
        <v>0</v>
      </c>
      <c r="I55" s="21">
        <f>IF(B55='01_Supuestos'!$D$24,-'01_Supuestos'!$D$23,0)</f>
        <v>0</v>
      </c>
      <c r="J55" s="21">
        <f t="shared" si="4"/>
        <v>0</v>
      </c>
      <c r="K55" s="21">
        <f t="shared" si="5"/>
        <v>0</v>
      </c>
    </row>
    <row r="56" spans="2:11" x14ac:dyDescent="0.2">
      <c r="B56" s="30">
        <v>43</v>
      </c>
      <c r="C56" s="21">
        <f>IF(B56=0,'01_Supuestos'!$D$7,0)</f>
        <v>0</v>
      </c>
      <c r="D56" s="21">
        <f>IF(AND(B56&gt;=1,B56&lt;='01_Supuestos'!$D$10),'01_Supuestos'!$D$9,0)</f>
        <v>0</v>
      </c>
      <c r="E56" s="21">
        <f t="shared" si="3"/>
        <v>0</v>
      </c>
      <c r="F56" s="21">
        <f>IF(AND(B56&gt;='01_Supuestos'!$D$19,B56&lt;'01_Supuestos'!$D$19+'01_Supuestos'!$D$17),-'01_Supuestos'!$D$18,0)</f>
        <v>0</v>
      </c>
      <c r="G56" s="21">
        <f>IF(AND(B56&gt;='01_Supuestos'!$D$20,B56&lt;'01_Supuestos'!$D$20+'01_Supuestos'!$D$17),-'01_Supuestos'!$D$18,0)</f>
        <v>0</v>
      </c>
      <c r="H56" s="21">
        <f>IF(B56='01_Supuestos'!$D$22,-'01_Supuestos'!$D$21*'01_Supuestos'!$D$13,0)</f>
        <v>0</v>
      </c>
      <c r="I56" s="21">
        <f>IF(B56='01_Supuestos'!$D$24,-'01_Supuestos'!$D$23,0)</f>
        <v>0</v>
      </c>
      <c r="J56" s="21">
        <f t="shared" si="4"/>
        <v>0</v>
      </c>
      <c r="K56" s="21">
        <f t="shared" si="5"/>
        <v>0</v>
      </c>
    </row>
    <row r="57" spans="2:11" x14ac:dyDescent="0.2">
      <c r="B57" s="30">
        <v>44</v>
      </c>
      <c r="C57" s="21">
        <f>IF(B57=0,'01_Supuestos'!$D$7,0)</f>
        <v>0</v>
      </c>
      <c r="D57" s="21">
        <f>IF(AND(B57&gt;=1,B57&lt;='01_Supuestos'!$D$10),'01_Supuestos'!$D$9,0)</f>
        <v>0</v>
      </c>
      <c r="E57" s="21">
        <f t="shared" si="3"/>
        <v>0</v>
      </c>
      <c r="F57" s="21">
        <f>IF(AND(B57&gt;='01_Supuestos'!$D$19,B57&lt;'01_Supuestos'!$D$19+'01_Supuestos'!$D$17),-'01_Supuestos'!$D$18,0)</f>
        <v>0</v>
      </c>
      <c r="G57" s="21">
        <f>IF(AND(B57&gt;='01_Supuestos'!$D$20,B57&lt;'01_Supuestos'!$D$20+'01_Supuestos'!$D$17),-'01_Supuestos'!$D$18,0)</f>
        <v>0</v>
      </c>
      <c r="H57" s="21">
        <f>IF(B57='01_Supuestos'!$D$22,-'01_Supuestos'!$D$21*'01_Supuestos'!$D$13,0)</f>
        <v>0</v>
      </c>
      <c r="I57" s="21">
        <f>IF(B57='01_Supuestos'!$D$24,-'01_Supuestos'!$D$23,0)</f>
        <v>0</v>
      </c>
      <c r="J57" s="21">
        <f t="shared" si="4"/>
        <v>0</v>
      </c>
      <c r="K57" s="21">
        <f t="shared" si="5"/>
        <v>0</v>
      </c>
    </row>
    <row r="58" spans="2:11" x14ac:dyDescent="0.2">
      <c r="B58" s="30">
        <v>45</v>
      </c>
      <c r="C58" s="21">
        <f>IF(B58=0,'01_Supuestos'!$D$7,0)</f>
        <v>0</v>
      </c>
      <c r="D58" s="21">
        <f>IF(AND(B58&gt;=1,B58&lt;='01_Supuestos'!$D$10),'01_Supuestos'!$D$9,0)</f>
        <v>0</v>
      </c>
      <c r="E58" s="21">
        <f t="shared" si="3"/>
        <v>0</v>
      </c>
      <c r="F58" s="21">
        <f>IF(AND(B58&gt;='01_Supuestos'!$D$19,B58&lt;'01_Supuestos'!$D$19+'01_Supuestos'!$D$17),-'01_Supuestos'!$D$18,0)</f>
        <v>0</v>
      </c>
      <c r="G58" s="21">
        <f>IF(AND(B58&gt;='01_Supuestos'!$D$20,B58&lt;'01_Supuestos'!$D$20+'01_Supuestos'!$D$17),-'01_Supuestos'!$D$18,0)</f>
        <v>0</v>
      </c>
      <c r="H58" s="21">
        <f>IF(B58='01_Supuestos'!$D$22,-'01_Supuestos'!$D$21*'01_Supuestos'!$D$13,0)</f>
        <v>0</v>
      </c>
      <c r="I58" s="21">
        <f>IF(B58='01_Supuestos'!$D$24,-'01_Supuestos'!$D$23,0)</f>
        <v>0</v>
      </c>
      <c r="J58" s="21">
        <f t="shared" si="4"/>
        <v>0</v>
      </c>
      <c r="K58" s="21">
        <f t="shared" si="5"/>
        <v>0</v>
      </c>
    </row>
    <row r="59" spans="2:11" x14ac:dyDescent="0.2">
      <c r="B59" s="30">
        <v>46</v>
      </c>
      <c r="C59" s="21">
        <f>IF(B59=0,'01_Supuestos'!$D$7,0)</f>
        <v>0</v>
      </c>
      <c r="D59" s="21">
        <f>IF(AND(B59&gt;=1,B59&lt;='01_Supuestos'!$D$10),'01_Supuestos'!$D$9,0)</f>
        <v>0</v>
      </c>
      <c r="E59" s="21">
        <f t="shared" si="3"/>
        <v>0</v>
      </c>
      <c r="F59" s="21">
        <f>IF(AND(B59&gt;='01_Supuestos'!$D$19,B59&lt;'01_Supuestos'!$D$19+'01_Supuestos'!$D$17),-'01_Supuestos'!$D$18,0)</f>
        <v>0</v>
      </c>
      <c r="G59" s="21">
        <f>IF(AND(B59&gt;='01_Supuestos'!$D$20,B59&lt;'01_Supuestos'!$D$20+'01_Supuestos'!$D$17),-'01_Supuestos'!$D$18,0)</f>
        <v>0</v>
      </c>
      <c r="H59" s="21">
        <f>IF(B59='01_Supuestos'!$D$22,-'01_Supuestos'!$D$21*'01_Supuestos'!$D$13,0)</f>
        <v>0</v>
      </c>
      <c r="I59" s="21">
        <f>IF(B59='01_Supuestos'!$D$24,-'01_Supuestos'!$D$23,0)</f>
        <v>0</v>
      </c>
      <c r="J59" s="21">
        <f t="shared" si="4"/>
        <v>0</v>
      </c>
      <c r="K59" s="21">
        <f t="shared" si="5"/>
        <v>0</v>
      </c>
    </row>
    <row r="60" spans="2:11" x14ac:dyDescent="0.2">
      <c r="B60" s="30">
        <v>47</v>
      </c>
      <c r="C60" s="21">
        <f>IF(B60=0,'01_Supuestos'!$D$7,0)</f>
        <v>0</v>
      </c>
      <c r="D60" s="21">
        <f>IF(AND(B60&gt;=1,B60&lt;='01_Supuestos'!$D$10),'01_Supuestos'!$D$9,0)</f>
        <v>0</v>
      </c>
      <c r="E60" s="21">
        <f t="shared" si="3"/>
        <v>0</v>
      </c>
      <c r="F60" s="21">
        <f>IF(AND(B60&gt;='01_Supuestos'!$D$19,B60&lt;'01_Supuestos'!$D$19+'01_Supuestos'!$D$17),-'01_Supuestos'!$D$18,0)</f>
        <v>0</v>
      </c>
      <c r="G60" s="21">
        <f>IF(AND(B60&gt;='01_Supuestos'!$D$20,B60&lt;'01_Supuestos'!$D$20+'01_Supuestos'!$D$17),-'01_Supuestos'!$D$18,0)</f>
        <v>0</v>
      </c>
      <c r="H60" s="21">
        <f>IF(B60='01_Supuestos'!$D$22,-'01_Supuestos'!$D$21*'01_Supuestos'!$D$13,0)</f>
        <v>0</v>
      </c>
      <c r="I60" s="21">
        <f>IF(B60='01_Supuestos'!$D$24,-'01_Supuestos'!$D$23,0)</f>
        <v>0</v>
      </c>
      <c r="J60" s="21">
        <f t="shared" si="4"/>
        <v>0</v>
      </c>
      <c r="K60" s="21">
        <f t="shared" si="5"/>
        <v>0</v>
      </c>
    </row>
    <row r="61" spans="2:11" x14ac:dyDescent="0.2">
      <c r="B61" s="30">
        <v>48</v>
      </c>
      <c r="C61" s="21">
        <f>IF(B61=0,'01_Supuestos'!$D$7,0)</f>
        <v>0</v>
      </c>
      <c r="D61" s="21">
        <f>IF(AND(B61&gt;=1,B61&lt;='01_Supuestos'!$D$10),'01_Supuestos'!$D$9,0)</f>
        <v>0</v>
      </c>
      <c r="E61" s="21">
        <f t="shared" si="3"/>
        <v>0</v>
      </c>
      <c r="F61" s="21">
        <f>IF(AND(B61&gt;='01_Supuestos'!$D$19,B61&lt;'01_Supuestos'!$D$19+'01_Supuestos'!$D$17),-'01_Supuestos'!$D$18,0)</f>
        <v>0</v>
      </c>
      <c r="G61" s="21">
        <f>IF(AND(B61&gt;='01_Supuestos'!$D$20,B61&lt;'01_Supuestos'!$D$20+'01_Supuestos'!$D$17),-'01_Supuestos'!$D$18,0)</f>
        <v>0</v>
      </c>
      <c r="H61" s="21">
        <f>IF(B61='01_Supuestos'!$D$22,-'01_Supuestos'!$D$21*'01_Supuestos'!$D$13,0)</f>
        <v>0</v>
      </c>
      <c r="I61" s="21">
        <f>IF(B61='01_Supuestos'!$D$24,-'01_Supuestos'!$D$23,0)</f>
        <v>0</v>
      </c>
      <c r="J61" s="21">
        <f t="shared" si="4"/>
        <v>0</v>
      </c>
      <c r="K61" s="21">
        <f t="shared" si="5"/>
        <v>0</v>
      </c>
    </row>
    <row r="62" spans="2:11" x14ac:dyDescent="0.2">
      <c r="B62" s="30">
        <v>49</v>
      </c>
      <c r="C62" s="21">
        <f>IF(B62=0,'01_Supuestos'!$D$7,0)</f>
        <v>0</v>
      </c>
      <c r="D62" s="21">
        <f>IF(AND(B62&gt;=1,B62&lt;='01_Supuestos'!$D$10),'01_Supuestos'!$D$9,0)</f>
        <v>0</v>
      </c>
      <c r="E62" s="21">
        <f t="shared" si="3"/>
        <v>0</v>
      </c>
      <c r="F62" s="21">
        <f>IF(AND(B62&gt;='01_Supuestos'!$D$19,B62&lt;'01_Supuestos'!$D$19+'01_Supuestos'!$D$17),-'01_Supuestos'!$D$18,0)</f>
        <v>0</v>
      </c>
      <c r="G62" s="21">
        <f>IF(AND(B62&gt;='01_Supuestos'!$D$20,B62&lt;'01_Supuestos'!$D$20+'01_Supuestos'!$D$17),-'01_Supuestos'!$D$18,0)</f>
        <v>0</v>
      </c>
      <c r="H62" s="21">
        <f>IF(B62='01_Supuestos'!$D$22,-'01_Supuestos'!$D$21*'01_Supuestos'!$D$13,0)</f>
        <v>0</v>
      </c>
      <c r="I62" s="21">
        <f>IF(B62='01_Supuestos'!$D$24,-'01_Supuestos'!$D$23,0)</f>
        <v>0</v>
      </c>
      <c r="J62" s="21">
        <f t="shared" si="4"/>
        <v>0</v>
      </c>
      <c r="K62" s="21">
        <f t="shared" si="5"/>
        <v>0</v>
      </c>
    </row>
    <row r="63" spans="2:11" x14ac:dyDescent="0.2">
      <c r="B63" s="30">
        <v>50</v>
      </c>
      <c r="C63" s="21">
        <f>IF(B63=0,'01_Supuestos'!$D$7,0)</f>
        <v>0</v>
      </c>
      <c r="D63" s="21">
        <f>IF(AND(B63&gt;=1,B63&lt;='01_Supuestos'!$D$10),'01_Supuestos'!$D$9,0)</f>
        <v>0</v>
      </c>
      <c r="E63" s="21">
        <f t="shared" si="3"/>
        <v>0</v>
      </c>
      <c r="F63" s="21">
        <f>IF(AND(B63&gt;='01_Supuestos'!$D$19,B63&lt;'01_Supuestos'!$D$19+'01_Supuestos'!$D$17),-'01_Supuestos'!$D$18,0)</f>
        <v>0</v>
      </c>
      <c r="G63" s="21">
        <f>IF(AND(B63&gt;='01_Supuestos'!$D$20,B63&lt;'01_Supuestos'!$D$20+'01_Supuestos'!$D$17),-'01_Supuestos'!$D$18,0)</f>
        <v>0</v>
      </c>
      <c r="H63" s="21">
        <f>IF(B63='01_Supuestos'!$D$22,-'01_Supuestos'!$D$21*'01_Supuestos'!$D$13,0)</f>
        <v>0</v>
      </c>
      <c r="I63" s="21">
        <f>IF(B63='01_Supuestos'!$D$24,-'01_Supuestos'!$D$23,0)</f>
        <v>-500000</v>
      </c>
      <c r="J63" s="21">
        <f t="shared" si="4"/>
        <v>-500000</v>
      </c>
      <c r="K63" s="21">
        <f t="shared" si="5"/>
        <v>-500000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1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40" customWidth="1"/>
    <col min="3" max="3" width="14" customWidth="1"/>
    <col min="4" max="15" width="12" customWidth="1"/>
  </cols>
  <sheetData>
    <row r="2" spans="2:14" ht="18" x14ac:dyDescent="0.2">
      <c r="B2" s="1" t="s">
        <v>164</v>
      </c>
    </row>
    <row r="3" spans="2:14" x14ac:dyDescent="0.2">
      <c r="B3" s="2" t="s">
        <v>165</v>
      </c>
    </row>
    <row r="5" spans="2:14" ht="28" x14ac:dyDescent="0.2">
      <c r="B5" s="4" t="s">
        <v>93</v>
      </c>
      <c r="C5" s="4" t="s">
        <v>166</v>
      </c>
      <c r="D5" s="4" t="s">
        <v>167</v>
      </c>
      <c r="E5" s="4" t="s">
        <v>168</v>
      </c>
      <c r="F5" s="4" t="s">
        <v>169</v>
      </c>
      <c r="G5" s="4" t="s">
        <v>170</v>
      </c>
      <c r="H5" s="4" t="s">
        <v>171</v>
      </c>
      <c r="I5" s="4" t="s">
        <v>172</v>
      </c>
      <c r="J5" s="4" t="s">
        <v>173</v>
      </c>
      <c r="K5" s="4" t="s">
        <v>174</v>
      </c>
      <c r="L5" s="4" t="s">
        <v>175</v>
      </c>
      <c r="M5" s="4" t="s">
        <v>176</v>
      </c>
      <c r="N5" s="4" t="s">
        <v>177</v>
      </c>
    </row>
    <row r="6" spans="2:14" x14ac:dyDescent="0.2">
      <c r="B6" s="26" t="s">
        <v>96</v>
      </c>
      <c r="C6" s="26" t="s">
        <v>178</v>
      </c>
      <c r="D6" s="27">
        <v>0.1502049689168741</v>
      </c>
      <c r="E6" s="27">
        <v>0.25743058049566309</v>
      </c>
      <c r="F6" s="35">
        <v>0.5920450161214682</v>
      </c>
      <c r="G6" s="35">
        <v>0.60948126182984441</v>
      </c>
      <c r="H6" s="35">
        <v>1.118839242275369</v>
      </c>
      <c r="I6" s="27">
        <v>5.2543026626534831E-3</v>
      </c>
      <c r="J6" s="27">
        <v>-0.37424195358520768</v>
      </c>
      <c r="K6" s="27">
        <v>8.4354790217904124E-2</v>
      </c>
      <c r="L6" s="27">
        <v>0.15230602048561129</v>
      </c>
      <c r="M6" s="27">
        <v>0.1897073484073088</v>
      </c>
      <c r="N6" s="35">
        <v>0.2045561954113192</v>
      </c>
    </row>
    <row r="7" spans="2:14" x14ac:dyDescent="0.2">
      <c r="B7" s="26" t="s">
        <v>179</v>
      </c>
      <c r="C7" s="26" t="s">
        <v>180</v>
      </c>
      <c r="D7" s="27">
        <v>0.16184387692290139</v>
      </c>
      <c r="E7" s="27">
        <v>0.2376094730352182</v>
      </c>
      <c r="F7" s="35">
        <v>0.68444486109048475</v>
      </c>
      <c r="G7" s="35">
        <v>0.71200836111947308</v>
      </c>
      <c r="H7" s="35">
        <v>1.098335998673706</v>
      </c>
      <c r="I7" s="27">
        <v>1.4494474982801989E-2</v>
      </c>
      <c r="J7" s="27">
        <v>-0.37424195358520818</v>
      </c>
      <c r="K7" s="27">
        <v>7.6536156236045233E-2</v>
      </c>
      <c r="L7" s="27">
        <v>0.13639034023469659</v>
      </c>
      <c r="M7" s="27"/>
      <c r="N7" s="35"/>
    </row>
    <row r="8" spans="2:14" x14ac:dyDescent="0.2">
      <c r="B8" s="26" t="s">
        <v>105</v>
      </c>
      <c r="C8" s="26" t="s">
        <v>181</v>
      </c>
      <c r="D8" s="27">
        <v>9.5662871899092616E-2</v>
      </c>
      <c r="E8" s="27">
        <v>0.1226964777633885</v>
      </c>
      <c r="F8" s="35">
        <v>0.63607755204852356</v>
      </c>
      <c r="G8" s="35">
        <v>0.64819299500655458</v>
      </c>
      <c r="H8" s="35">
        <v>0.51467084011711284</v>
      </c>
      <c r="I8" s="27">
        <v>1.035199820931146E-2</v>
      </c>
      <c r="J8" s="27">
        <v>-0.17847822398907401</v>
      </c>
      <c r="K8" s="27">
        <v>5.1721213337889121E-2</v>
      </c>
      <c r="L8" s="27">
        <v>6.9188151909166259E-2</v>
      </c>
      <c r="M8" s="27">
        <v>4.4320618292240009E-2</v>
      </c>
      <c r="N8" s="35">
        <v>0.18036730410825569</v>
      </c>
    </row>
    <row r="9" spans="2:14" x14ac:dyDescent="0.2">
      <c r="B9" s="26" t="s">
        <v>182</v>
      </c>
      <c r="C9" s="26" t="s">
        <v>180</v>
      </c>
      <c r="D9" s="27">
        <v>0.1071607336590132</v>
      </c>
      <c r="E9" s="27">
        <v>0.1196037480284665</v>
      </c>
      <c r="F9" s="35">
        <v>0.77798308764412694</v>
      </c>
      <c r="G9" s="35">
        <v>0.79472746918675763</v>
      </c>
      <c r="H9" s="35">
        <v>0.54262494532512873</v>
      </c>
      <c r="I9" s="27">
        <v>1.9864122027117102E-2</v>
      </c>
      <c r="J9" s="27">
        <v>-0.17847822398907401</v>
      </c>
      <c r="K9" s="27">
        <v>4.9732320735428347E-2</v>
      </c>
      <c r="L9" s="27">
        <v>6.5313838261902873E-2</v>
      </c>
      <c r="M9" s="27"/>
      <c r="N9" s="35"/>
    </row>
    <row r="10" spans="2:14" x14ac:dyDescent="0.2">
      <c r="B10" s="26" t="s">
        <v>108</v>
      </c>
      <c r="C10" s="26" t="s">
        <v>183</v>
      </c>
      <c r="D10" s="27">
        <v>0.1059737629634363</v>
      </c>
      <c r="E10" s="27">
        <v>0.19156642011258959</v>
      </c>
      <c r="F10" s="35">
        <v>0.51228231605086261</v>
      </c>
      <c r="G10" s="35">
        <v>0.50110943599499702</v>
      </c>
      <c r="H10" s="35">
        <v>0.16737434321455999</v>
      </c>
      <c r="I10" s="27">
        <v>7.6122050501380628E-2</v>
      </c>
      <c r="J10" s="27">
        <v>-0.31436389380371382</v>
      </c>
      <c r="K10" s="27">
        <v>6.7549482757448862E-2</v>
      </c>
      <c r="L10" s="27">
        <v>0.11731172462730891</v>
      </c>
      <c r="M10" s="27">
        <v>0.17516200585592129</v>
      </c>
      <c r="N10" s="35">
        <v>-4.0076403974968478E-2</v>
      </c>
    </row>
    <row r="11" spans="2:14" x14ac:dyDescent="0.2">
      <c r="B11" s="26" t="s">
        <v>184</v>
      </c>
      <c r="C11" s="26" t="s">
        <v>180</v>
      </c>
      <c r="D11" s="27">
        <v>7.9459140073918411E-2</v>
      </c>
      <c r="E11" s="27">
        <v>0.16986918901657649</v>
      </c>
      <c r="F11" s="35">
        <v>0.43951038273398108</v>
      </c>
      <c r="G11" s="35">
        <v>0.39699134338600262</v>
      </c>
      <c r="H11" s="35">
        <v>0.14589543367280131</v>
      </c>
      <c r="I11" s="27">
        <v>5.4981886020867232E-2</v>
      </c>
      <c r="J11" s="27">
        <v>-0.31436389380371382</v>
      </c>
      <c r="K11" s="27">
        <v>6.5285811987000578E-2</v>
      </c>
      <c r="L11" s="27">
        <v>0.105921218096706</v>
      </c>
      <c r="M11" s="27"/>
      <c r="N11" s="3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169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14" width="11" customWidth="1"/>
  </cols>
  <sheetData>
    <row r="2" spans="2:14" ht="18" x14ac:dyDescent="0.2">
      <c r="B2" s="1" t="s">
        <v>185</v>
      </c>
    </row>
    <row r="3" spans="2:14" x14ac:dyDescent="0.2">
      <c r="B3" s="2" t="s">
        <v>186</v>
      </c>
    </row>
    <row r="5" spans="2:14" ht="28" x14ac:dyDescent="0.2">
      <c r="B5" s="4" t="s">
        <v>187</v>
      </c>
      <c r="C5" s="4" t="s">
        <v>118</v>
      </c>
      <c r="D5" s="4" t="s">
        <v>119</v>
      </c>
      <c r="E5" s="4" t="s">
        <v>120</v>
      </c>
      <c r="F5" s="4" t="s">
        <v>121</v>
      </c>
      <c r="G5" s="4" t="s">
        <v>122</v>
      </c>
      <c r="H5" s="4" t="s">
        <v>123</v>
      </c>
      <c r="I5" s="4" t="s">
        <v>188</v>
      </c>
      <c r="J5" s="4" t="s">
        <v>189</v>
      </c>
      <c r="K5" s="4" t="s">
        <v>190</v>
      </c>
      <c r="L5" s="4" t="s">
        <v>191</v>
      </c>
      <c r="M5" s="4" t="s">
        <v>192</v>
      </c>
      <c r="N5" s="4" t="s">
        <v>193</v>
      </c>
    </row>
    <row r="6" spans="2:14" x14ac:dyDescent="0.2">
      <c r="B6" s="36">
        <v>41305</v>
      </c>
      <c r="C6" s="37">
        <v>5.1190367289974503E-2</v>
      </c>
      <c r="D6" s="37">
        <v>-1.9946044404338451E-2</v>
      </c>
      <c r="E6" s="37">
        <v>-2.2715108529820501E-2</v>
      </c>
      <c r="F6" s="37">
        <v>0</v>
      </c>
      <c r="G6" s="37">
        <v>8.9626037242808668E-2</v>
      </c>
      <c r="H6" s="37">
        <v>6.277107172116303E-2</v>
      </c>
      <c r="I6" s="37">
        <v>5.1190367289974503E-2</v>
      </c>
      <c r="J6" s="37">
        <v>-1.9946044404338451E-2</v>
      </c>
      <c r="K6" s="37">
        <v>-2.2715108529820501E-2</v>
      </c>
      <c r="L6" s="37">
        <v>2.663163034374072E-2</v>
      </c>
      <c r="M6" s="37"/>
      <c r="N6" s="37">
        <v>4.8571466659134373E-2</v>
      </c>
    </row>
    <row r="7" spans="2:14" x14ac:dyDescent="0.2">
      <c r="B7" s="36">
        <v>41333</v>
      </c>
      <c r="C7" s="37">
        <v>1.2758953870260161E-2</v>
      </c>
      <c r="D7" s="37">
        <v>1.1792004978537831E-2</v>
      </c>
      <c r="E7" s="37">
        <v>1.7338562320170281E-2</v>
      </c>
      <c r="F7" s="37">
        <v>0</v>
      </c>
      <c r="G7" s="37">
        <v>3.1859679519281661E-2</v>
      </c>
      <c r="H7" s="37">
        <v>4.46183120274634E-2</v>
      </c>
      <c r="I7" s="37">
        <v>1.2758953870260161E-2</v>
      </c>
      <c r="J7" s="37">
        <v>1.1792004978537831E-2</v>
      </c>
      <c r="K7" s="37">
        <v>1.7338562320170281E-2</v>
      </c>
      <c r="L7" s="37">
        <v>-6.2801301743490232E-2</v>
      </c>
      <c r="M7" s="37"/>
      <c r="N7" s="37">
        <v>2.829344515495125E-2</v>
      </c>
    </row>
    <row r="8" spans="2:14" x14ac:dyDescent="0.2">
      <c r="B8" s="36">
        <v>41364</v>
      </c>
      <c r="C8" s="37">
        <v>3.7970801323048857E-2</v>
      </c>
      <c r="D8" s="37">
        <v>3.730667232243023E-3</v>
      </c>
      <c r="E8" s="37">
        <v>-1.0950841448123531E-2</v>
      </c>
      <c r="F8" s="37">
        <v>0</v>
      </c>
      <c r="G8" s="37">
        <v>6.5716104396807723E-2</v>
      </c>
      <c r="H8" s="37">
        <v>5.65484848285761E-2</v>
      </c>
      <c r="I8" s="37">
        <v>3.7970801323048857E-2</v>
      </c>
      <c r="J8" s="37">
        <v>3.730667232243023E-3</v>
      </c>
      <c r="K8" s="37">
        <v>-1.0950841448123531E-2</v>
      </c>
      <c r="L8" s="37">
        <v>8.549953546181932E-4</v>
      </c>
      <c r="M8" s="37"/>
      <c r="N8" s="37">
        <v>4.8913136513844213E-2</v>
      </c>
    </row>
    <row r="9" spans="2:14" x14ac:dyDescent="0.2">
      <c r="B9" s="36">
        <v>41394</v>
      </c>
      <c r="C9" s="37">
        <v>1.9212412337027199E-2</v>
      </c>
      <c r="D9" s="37">
        <v>2.4770756862306339E-2</v>
      </c>
      <c r="E9" s="37">
        <v>4.4997719724468199E-2</v>
      </c>
      <c r="F9" s="37">
        <v>-2.1867084000881659E-4</v>
      </c>
      <c r="G9" s="37">
        <v>-1.5213922552330649E-2</v>
      </c>
      <c r="H9" s="37">
        <v>2.7757942613809029E-2</v>
      </c>
      <c r="I9" s="37">
        <v>1.9212412337027199E-2</v>
      </c>
      <c r="J9" s="37">
        <v>2.4770756862306339E-2</v>
      </c>
      <c r="K9" s="37">
        <v>4.4997719724468199E-2</v>
      </c>
      <c r="L9" s="37">
        <v>-6.743170264642695E-2</v>
      </c>
      <c r="M9" s="37"/>
      <c r="N9" s="37">
        <v>3.7708482197427402E-2</v>
      </c>
    </row>
    <row r="10" spans="2:14" x14ac:dyDescent="0.2">
      <c r="B10" s="36">
        <v>41425</v>
      </c>
      <c r="C10" s="37">
        <v>2.3610226118466079E-2</v>
      </c>
      <c r="D10" s="37">
        <v>-4.3407617971658818E-2</v>
      </c>
      <c r="E10" s="37">
        <v>-5.8050804492340347E-2</v>
      </c>
      <c r="F10" s="37">
        <v>2.1871866740363899E-4</v>
      </c>
      <c r="G10" s="37">
        <v>6.0320628773129888E-2</v>
      </c>
      <c r="H10" s="37">
        <v>-3.2361388821349639E-2</v>
      </c>
      <c r="I10" s="37">
        <v>2.3610226118466079E-2</v>
      </c>
      <c r="J10" s="37">
        <v>-4.3407617971658818E-2</v>
      </c>
      <c r="K10" s="37">
        <v>-5.8050804492340347E-2</v>
      </c>
      <c r="L10" s="37">
        <v>-3.2231169841300832E-2</v>
      </c>
      <c r="M10" s="37"/>
      <c r="N10" s="37">
        <v>-3.6103903242317707E-2</v>
      </c>
    </row>
    <row r="11" spans="2:14" x14ac:dyDescent="0.2">
      <c r="B11" s="36">
        <v>41455</v>
      </c>
      <c r="C11" s="37">
        <v>-1.3345131798815021E-2</v>
      </c>
      <c r="D11" s="37">
        <v>-2.9673134837372769E-2</v>
      </c>
      <c r="E11" s="37">
        <v>-4.4215077448743978E-2</v>
      </c>
      <c r="F11" s="37">
        <v>-2.1867084000881659E-4</v>
      </c>
      <c r="G11" s="37">
        <v>-6.767319230530891E-2</v>
      </c>
      <c r="H11" s="37">
        <v>1.476386440430578E-2</v>
      </c>
      <c r="I11" s="37">
        <v>-1.3345131798815021E-2</v>
      </c>
      <c r="J11" s="37">
        <v>-2.9673134837372769E-2</v>
      </c>
      <c r="K11" s="37">
        <v>-4.4215077448743978E-2</v>
      </c>
      <c r="L11" s="37">
        <v>-5.4174007463783473E-2</v>
      </c>
      <c r="M11" s="37"/>
      <c r="N11" s="37">
        <v>7.8426211697784076E-3</v>
      </c>
    </row>
    <row r="12" spans="2:14" x14ac:dyDescent="0.2">
      <c r="B12" s="36">
        <v>41486</v>
      </c>
      <c r="C12" s="37">
        <v>5.1677434009620882E-2</v>
      </c>
      <c r="D12" s="37">
        <v>-9.3271013746035747E-3</v>
      </c>
      <c r="E12" s="37">
        <v>9.8349889212008268E-3</v>
      </c>
      <c r="F12" s="37">
        <v>0</v>
      </c>
      <c r="G12" s="37">
        <v>8.0885794431625344E-2</v>
      </c>
      <c r="H12" s="37">
        <v>3.2179952541012267E-2</v>
      </c>
      <c r="I12" s="37">
        <v>5.1677434009620882E-2</v>
      </c>
      <c r="J12" s="37">
        <v>-9.3271013746035747E-3</v>
      </c>
      <c r="K12" s="37">
        <v>9.8349889212008268E-3</v>
      </c>
      <c r="L12" s="37">
        <v>3.536607810006296E-2</v>
      </c>
      <c r="M12" s="37"/>
      <c r="N12" s="37">
        <v>4.1885904091094613E-2</v>
      </c>
    </row>
    <row r="13" spans="2:14" x14ac:dyDescent="0.2">
      <c r="B13" s="36">
        <v>41517</v>
      </c>
      <c r="C13" s="37">
        <v>-2.999247935092331E-2</v>
      </c>
      <c r="D13" s="37">
        <v>-9.6968603448734925E-3</v>
      </c>
      <c r="E13" s="37">
        <v>-1.460645366845648E-2</v>
      </c>
      <c r="F13" s="37">
        <v>0</v>
      </c>
      <c r="G13" s="37">
        <v>-1.3543687085127119E-3</v>
      </c>
      <c r="H13" s="37">
        <v>-4.9001910740601569E-2</v>
      </c>
      <c r="I13" s="37">
        <v>-2.999247935092331E-2</v>
      </c>
      <c r="J13" s="37">
        <v>-9.6968603448734925E-3</v>
      </c>
      <c r="K13" s="37">
        <v>-1.460645366845648E-2</v>
      </c>
      <c r="L13" s="37">
        <v>6.3055549061245969E-2</v>
      </c>
      <c r="M13" s="37"/>
      <c r="N13" s="37">
        <v>-5.0410404575285887E-2</v>
      </c>
    </row>
    <row r="14" spans="2:14" x14ac:dyDescent="0.2">
      <c r="B14" s="36">
        <v>41547</v>
      </c>
      <c r="C14" s="37">
        <v>3.1646441679306747E-2</v>
      </c>
      <c r="D14" s="37">
        <v>1.434113588859476E-2</v>
      </c>
      <c r="E14" s="37">
        <v>5.7194964920208591E-3</v>
      </c>
      <c r="F14" s="37">
        <v>-2.180928629188505E-4</v>
      </c>
      <c r="G14" s="37">
        <v>8.0273411118020874E-2</v>
      </c>
      <c r="H14" s="37">
        <v>8.3171652434713816E-3</v>
      </c>
      <c r="I14" s="37">
        <v>3.1646441679306747E-2</v>
      </c>
      <c r="J14" s="37">
        <v>1.434113588859476E-2</v>
      </c>
      <c r="K14" s="37">
        <v>5.7194964920208591E-3</v>
      </c>
      <c r="L14" s="37">
        <v>-2.8056246073715908E-2</v>
      </c>
      <c r="M14" s="37"/>
      <c r="N14" s="37">
        <v>2.0403314294790809E-2</v>
      </c>
    </row>
    <row r="15" spans="2:14" x14ac:dyDescent="0.2">
      <c r="B15" s="36">
        <v>41578</v>
      </c>
      <c r="C15" s="37">
        <v>4.6306539134100211E-2</v>
      </c>
      <c r="D15" s="37">
        <v>1.013184200002382E-2</v>
      </c>
      <c r="E15" s="37">
        <v>2.5024042534209871E-2</v>
      </c>
      <c r="F15" s="37">
        <v>-2.1866205528975341E-4</v>
      </c>
      <c r="G15" s="37">
        <v>4.3752680796206748E-2</v>
      </c>
      <c r="H15" s="37">
        <v>4.5099769432658678E-2</v>
      </c>
      <c r="I15" s="37">
        <v>4.6306539134100211E-2</v>
      </c>
      <c r="J15" s="37">
        <v>1.013184200002382E-2</v>
      </c>
      <c r="K15" s="37">
        <v>2.5024042534209871E-2</v>
      </c>
      <c r="L15" s="37">
        <v>-1.1769948065185431E-2</v>
      </c>
      <c r="M15" s="37"/>
      <c r="N15" s="37">
        <v>4.6421034941473982E-2</v>
      </c>
    </row>
    <row r="16" spans="2:14" x14ac:dyDescent="0.2">
      <c r="B16" s="36">
        <v>41608</v>
      </c>
      <c r="C16" s="37">
        <v>2.9637975905275619E-2</v>
      </c>
      <c r="D16" s="37">
        <v>-1.8115206511983731E-2</v>
      </c>
      <c r="E16" s="37">
        <v>-9.2874517952881153E-3</v>
      </c>
      <c r="F16" s="37">
        <v>-2.1860553252517351E-4</v>
      </c>
      <c r="G16" s="37">
        <v>3.8651324621382398E-2</v>
      </c>
      <c r="H16" s="37">
        <v>2.0823631700747969E-2</v>
      </c>
      <c r="I16" s="37">
        <v>2.9637975905275619E-2</v>
      </c>
      <c r="J16" s="37">
        <v>-1.8115206511983731E-2</v>
      </c>
      <c r="K16" s="37">
        <v>-9.2874517952881153E-3</v>
      </c>
      <c r="L16" s="37">
        <v>-4.3284801121566373E-2</v>
      </c>
      <c r="M16" s="37"/>
      <c r="N16" s="37">
        <v>1.1071234827776831E-2</v>
      </c>
    </row>
    <row r="17" spans="2:14" x14ac:dyDescent="0.2">
      <c r="B17" s="36">
        <v>41639</v>
      </c>
      <c r="C17" s="37">
        <v>2.5926139038552121E-2</v>
      </c>
      <c r="D17" s="37">
        <v>-1.8351630674490419E-2</v>
      </c>
      <c r="E17" s="37">
        <v>8.4642509336596561E-3</v>
      </c>
      <c r="F17" s="37">
        <v>0</v>
      </c>
      <c r="G17" s="37">
        <v>9.9023220839979977E-4</v>
      </c>
      <c r="H17" s="37">
        <v>-7.9224466997595785E-5</v>
      </c>
      <c r="I17" s="37">
        <v>2.5926139038552121E-2</v>
      </c>
      <c r="J17" s="37">
        <v>-1.8351630674490419E-2</v>
      </c>
      <c r="K17" s="37">
        <v>8.4642509336596561E-3</v>
      </c>
      <c r="L17" s="37">
        <v>2.8798943157155371E-3</v>
      </c>
      <c r="M17" s="37"/>
      <c r="N17" s="37">
        <v>1.1263785012066711E-2</v>
      </c>
    </row>
    <row r="18" spans="2:14" x14ac:dyDescent="0.2">
      <c r="B18" s="36">
        <v>41670</v>
      </c>
      <c r="C18" s="37">
        <v>-3.5248204855748533E-2</v>
      </c>
      <c r="D18" s="37">
        <v>4.0852359084083689E-2</v>
      </c>
      <c r="E18" s="37">
        <v>3.6510565777344572E-2</v>
      </c>
      <c r="F18" s="37">
        <v>0</v>
      </c>
      <c r="G18" s="37">
        <v>1.037689284488623E-3</v>
      </c>
      <c r="H18" s="37">
        <v>-4.4580639704063042E-2</v>
      </c>
      <c r="I18" s="37">
        <v>-3.5248204855748533E-2</v>
      </c>
      <c r="J18" s="37">
        <v>4.0852359084083689E-2</v>
      </c>
      <c r="K18" s="37">
        <v>3.6510565777344572E-2</v>
      </c>
      <c r="L18" s="37">
        <v>-8.1634623147830432E-3</v>
      </c>
      <c r="M18" s="37"/>
      <c r="N18" s="37">
        <v>-2.572892437063334E-2</v>
      </c>
    </row>
    <row r="19" spans="2:14" x14ac:dyDescent="0.2">
      <c r="B19" s="36">
        <v>41698</v>
      </c>
      <c r="C19" s="37">
        <v>4.5515746258717682E-2</v>
      </c>
      <c r="D19" s="37">
        <v>5.3336718870129474E-3</v>
      </c>
      <c r="E19" s="37">
        <v>1.3807855095590901E-2</v>
      </c>
      <c r="F19" s="37">
        <v>2.1865333135306919E-4</v>
      </c>
      <c r="G19" s="37">
        <v>6.719659034695169E-2</v>
      </c>
      <c r="H19" s="37">
        <v>2.42608034886025E-2</v>
      </c>
      <c r="I19" s="37">
        <v>4.5515746258717682E-2</v>
      </c>
      <c r="J19" s="37">
        <v>5.3336718870129474E-3</v>
      </c>
      <c r="K19" s="37">
        <v>1.3807855095590901E-2</v>
      </c>
      <c r="L19" s="37">
        <v>6.6914415655520101E-2</v>
      </c>
      <c r="M19" s="37"/>
      <c r="N19" s="37">
        <v>3.7943569396576622E-2</v>
      </c>
    </row>
    <row r="20" spans="2:14" x14ac:dyDescent="0.2">
      <c r="B20" s="36">
        <v>41729</v>
      </c>
      <c r="C20" s="37">
        <v>8.2951944790905507E-3</v>
      </c>
      <c r="D20" s="37">
        <v>3.735868413186072E-4</v>
      </c>
      <c r="E20" s="37">
        <v>8.38960871638883E-3</v>
      </c>
      <c r="F20" s="37">
        <v>-2.1860553252517351E-4</v>
      </c>
      <c r="G20" s="37">
        <v>-3.378148473743145E-2</v>
      </c>
      <c r="H20" s="37">
        <v>3.1880739899742938E-2</v>
      </c>
      <c r="I20" s="37">
        <v>8.2951944790905507E-3</v>
      </c>
      <c r="J20" s="37">
        <v>3.735868413186072E-4</v>
      </c>
      <c r="K20" s="37">
        <v>8.38960871638883E-3</v>
      </c>
      <c r="L20" s="37">
        <v>-2.2068358642902911E-2</v>
      </c>
      <c r="M20" s="37"/>
      <c r="N20" s="37">
        <v>2.13075369746345E-2</v>
      </c>
    </row>
    <row r="21" spans="2:14" x14ac:dyDescent="0.2">
      <c r="B21" s="36">
        <v>41759</v>
      </c>
      <c r="C21" s="37">
        <v>6.9517479587286601E-3</v>
      </c>
      <c r="D21" s="37">
        <v>1.1311489452086709E-2</v>
      </c>
      <c r="E21" s="37">
        <v>2.5873927243287739E-2</v>
      </c>
      <c r="F21" s="37">
        <v>0</v>
      </c>
      <c r="G21" s="37">
        <v>-1.6254020034325509E-2</v>
      </c>
      <c r="H21" s="37">
        <v>3.0183322012846309E-2</v>
      </c>
      <c r="I21" s="37">
        <v>6.9517479587286601E-3</v>
      </c>
      <c r="J21" s="37">
        <v>1.1311489452086709E-2</v>
      </c>
      <c r="K21" s="37">
        <v>2.5873927243287739E-2</v>
      </c>
      <c r="L21" s="37">
        <v>-8.2155992051620159E-4</v>
      </c>
      <c r="M21" s="37"/>
      <c r="N21" s="37">
        <v>1.8540652190308871E-2</v>
      </c>
    </row>
    <row r="22" spans="2:14" x14ac:dyDescent="0.2">
      <c r="B22" s="36">
        <v>41790</v>
      </c>
      <c r="C22" s="37">
        <v>2.3206223137695488E-2</v>
      </c>
      <c r="D22" s="37">
        <v>2.1759079945221419E-2</v>
      </c>
      <c r="E22" s="37">
        <v>1.8617153065988209E-2</v>
      </c>
      <c r="F22" s="37">
        <v>-5.0000000000000001E-4</v>
      </c>
      <c r="G22" s="37">
        <v>2.865864400364854E-2</v>
      </c>
      <c r="H22" s="37">
        <v>2.7526278826979331E-3</v>
      </c>
      <c r="I22" s="37">
        <v>2.3206223137695488E-2</v>
      </c>
      <c r="J22" s="37">
        <v>2.1759079945221419E-2</v>
      </c>
      <c r="K22" s="37">
        <v>1.8617153065988209E-2</v>
      </c>
      <c r="L22" s="37">
        <v>-7.1303186694425813E-3</v>
      </c>
      <c r="M22" s="37"/>
      <c r="N22" s="37">
        <v>1.07200428194365E-2</v>
      </c>
    </row>
    <row r="23" spans="2:14" x14ac:dyDescent="0.2">
      <c r="B23" s="36">
        <v>41820</v>
      </c>
      <c r="C23" s="37">
        <v>2.06452054910502E-2</v>
      </c>
      <c r="D23" s="37">
        <v>-2.855020637302808E-3</v>
      </c>
      <c r="E23" s="37">
        <v>7.4204933224231162E-4</v>
      </c>
      <c r="F23" s="37">
        <v>-9.5218860431862118E-3</v>
      </c>
      <c r="G23" s="37">
        <v>1.258584421578939E-2</v>
      </c>
      <c r="H23" s="37">
        <v>1.7069797860081479E-2</v>
      </c>
      <c r="I23" s="37">
        <v>2.06452054910502E-2</v>
      </c>
      <c r="J23" s="37">
        <v>-2.855020637302808E-3</v>
      </c>
      <c r="K23" s="37">
        <v>7.4204933224231162E-4</v>
      </c>
      <c r="L23" s="37">
        <v>4.4431792906726587E-2</v>
      </c>
      <c r="M23" s="37"/>
      <c r="N23" s="37">
        <v>2.2089480276336951E-2</v>
      </c>
    </row>
    <row r="24" spans="2:14" x14ac:dyDescent="0.2">
      <c r="B24" s="36">
        <v>41851</v>
      </c>
      <c r="C24" s="37">
        <v>-1.3437839053144111E-2</v>
      </c>
      <c r="D24" s="37">
        <v>6.3540504599934877E-4</v>
      </c>
      <c r="E24" s="37">
        <v>9.5678699588996885E-4</v>
      </c>
      <c r="F24" s="37">
        <v>-7.1890975218419318E-4</v>
      </c>
      <c r="G24" s="37">
        <v>-2.8242832989764859E-2</v>
      </c>
      <c r="H24" s="37">
        <v>-3.3376973810975742E-2</v>
      </c>
      <c r="I24" s="37">
        <v>-1.3437839053144111E-2</v>
      </c>
      <c r="J24" s="37">
        <v>6.3540504599934877E-4</v>
      </c>
      <c r="K24" s="37">
        <v>9.5678699588996885E-4</v>
      </c>
      <c r="L24" s="37">
        <v>-2.6837221194062219E-2</v>
      </c>
      <c r="M24" s="37"/>
      <c r="N24" s="37">
        <v>-3.9993463233229498E-2</v>
      </c>
    </row>
    <row r="25" spans="2:14" x14ac:dyDescent="0.2">
      <c r="B25" s="36">
        <v>41882</v>
      </c>
      <c r="C25" s="37">
        <v>3.9463654521884939E-2</v>
      </c>
      <c r="D25" s="37">
        <v>2.666784247350229E-2</v>
      </c>
      <c r="E25" s="37">
        <v>3.2564079155690713E-2</v>
      </c>
      <c r="F25" s="37">
        <v>-1.5918540143072198E-2</v>
      </c>
      <c r="G25" s="37">
        <v>6.0824722238710702E-2</v>
      </c>
      <c r="H25" s="37">
        <v>3.8311826947987911E-2</v>
      </c>
      <c r="I25" s="37">
        <v>3.9463654521884939E-2</v>
      </c>
      <c r="J25" s="37">
        <v>2.666784247350229E-2</v>
      </c>
      <c r="K25" s="37">
        <v>3.2564079155690713E-2</v>
      </c>
      <c r="L25" s="37">
        <v>-1.6824934409217999E-2</v>
      </c>
      <c r="M25" s="37"/>
      <c r="N25" s="37">
        <v>3.8487079788929852E-2</v>
      </c>
    </row>
    <row r="26" spans="2:14" x14ac:dyDescent="0.2">
      <c r="B26" s="36">
        <v>41912</v>
      </c>
      <c r="C26" s="37">
        <v>-1.379625187350542E-2</v>
      </c>
      <c r="D26" s="37">
        <v>-1.3022578323740991E-2</v>
      </c>
      <c r="E26" s="37">
        <v>-2.9645942575479148E-2</v>
      </c>
      <c r="F26" s="37">
        <v>0</v>
      </c>
      <c r="G26" s="37">
        <v>-2.198840409315922E-2</v>
      </c>
      <c r="H26" s="37">
        <v>1.193379846965859E-3</v>
      </c>
      <c r="I26" s="37">
        <v>-1.379625187350542E-2</v>
      </c>
      <c r="J26" s="37">
        <v>-1.3022578323740991E-2</v>
      </c>
      <c r="K26" s="37">
        <v>-2.9645942575479148E-2</v>
      </c>
      <c r="L26" s="37">
        <v>-6.4306170670250268E-2</v>
      </c>
      <c r="M26" s="37"/>
      <c r="N26" s="37">
        <v>-8.6223454878665562E-3</v>
      </c>
    </row>
    <row r="27" spans="2:14" x14ac:dyDescent="0.2">
      <c r="B27" s="36">
        <v>41943</v>
      </c>
      <c r="C27" s="37">
        <v>2.35511779265829E-2</v>
      </c>
      <c r="D27" s="37">
        <v>1.8003220125148319E-2</v>
      </c>
      <c r="E27" s="37">
        <v>2.297295995073045E-2</v>
      </c>
      <c r="F27" s="37">
        <v>-2.189097521841932E-4</v>
      </c>
      <c r="G27" s="37">
        <v>-2.1535498906467779E-2</v>
      </c>
      <c r="H27" s="37">
        <v>3.2257335414425103E-2</v>
      </c>
      <c r="I27" s="37">
        <v>2.35511779265829E-2</v>
      </c>
      <c r="J27" s="37">
        <v>1.8003220125148319E-2</v>
      </c>
      <c r="K27" s="37">
        <v>2.297295995073045E-2</v>
      </c>
      <c r="L27" s="37">
        <v>-3.5547494487486418E-2</v>
      </c>
      <c r="M27" s="37"/>
      <c r="N27" s="37">
        <v>4.8864101846299628E-2</v>
      </c>
    </row>
    <row r="28" spans="2:14" x14ac:dyDescent="0.2">
      <c r="B28" s="36">
        <v>41973</v>
      </c>
      <c r="C28" s="37">
        <v>2.7471335112026148E-2</v>
      </c>
      <c r="D28" s="37">
        <v>1.2145363775021289E-2</v>
      </c>
      <c r="E28" s="37">
        <v>6.0276388573812234E-3</v>
      </c>
      <c r="F28" s="37">
        <v>0</v>
      </c>
      <c r="G28" s="37">
        <v>4.6494224683417879E-2</v>
      </c>
      <c r="H28" s="37">
        <v>5.4993892470554979E-2</v>
      </c>
      <c r="I28" s="37">
        <v>2.7471335112026148E-2</v>
      </c>
      <c r="J28" s="37">
        <v>1.2145363775021289E-2</v>
      </c>
      <c r="K28" s="37">
        <v>6.0276388573812234E-3</v>
      </c>
      <c r="L28" s="37">
        <v>-5.5232669041107442E-2</v>
      </c>
      <c r="M28" s="37"/>
      <c r="N28" s="37">
        <v>2.8852817202416729E-2</v>
      </c>
    </row>
    <row r="29" spans="2:14" x14ac:dyDescent="0.2">
      <c r="B29" s="36">
        <v>42004</v>
      </c>
      <c r="C29" s="37">
        <v>-2.536192809820315E-3</v>
      </c>
      <c r="D29" s="37">
        <v>1.423297232569176E-2</v>
      </c>
      <c r="E29" s="37">
        <v>1.7763751303568661E-2</v>
      </c>
      <c r="F29" s="37">
        <v>-2.1812236633422799E-4</v>
      </c>
      <c r="G29" s="37">
        <v>-4.1546934122899557E-3</v>
      </c>
      <c r="H29" s="37">
        <v>1.425312878123379E-2</v>
      </c>
      <c r="I29" s="37">
        <v>-2.536192809820315E-3</v>
      </c>
      <c r="J29" s="37">
        <v>1.423297232569176E-2</v>
      </c>
      <c r="K29" s="37">
        <v>1.7763751303568661E-2</v>
      </c>
      <c r="L29" s="37">
        <v>-4.3182590866083177E-2</v>
      </c>
      <c r="M29" s="37"/>
      <c r="N29" s="37">
        <v>1.187332697027443E-2</v>
      </c>
    </row>
    <row r="30" spans="2:14" x14ac:dyDescent="0.2">
      <c r="B30" s="36">
        <v>42035</v>
      </c>
      <c r="C30" s="37">
        <v>-2.96293087441305E-2</v>
      </c>
      <c r="D30" s="37">
        <v>4.9493493235392323E-2</v>
      </c>
      <c r="E30" s="37">
        <v>5.637288423258946E-2</v>
      </c>
      <c r="F30" s="37">
        <v>-2.1890101663646361E-4</v>
      </c>
      <c r="G30" s="37">
        <v>1.101600679456031E-2</v>
      </c>
      <c r="H30" s="37">
        <v>5.8911509932779021E-3</v>
      </c>
      <c r="I30" s="37">
        <v>-2.96293087441305E-2</v>
      </c>
      <c r="J30" s="37">
        <v>4.9493493235392323E-2</v>
      </c>
      <c r="K30" s="37">
        <v>5.637288423258946E-2</v>
      </c>
      <c r="L30" s="37">
        <v>-2.658389141651862E-2</v>
      </c>
      <c r="M30" s="37"/>
      <c r="N30" s="37">
        <v>-5.6778860769542971E-3</v>
      </c>
    </row>
    <row r="31" spans="2:14" x14ac:dyDescent="0.2">
      <c r="B31" s="36">
        <v>42063</v>
      </c>
      <c r="C31" s="37">
        <v>5.6204422288380851E-2</v>
      </c>
      <c r="D31" s="37">
        <v>-2.880969859195914E-2</v>
      </c>
      <c r="E31" s="37">
        <v>-3.1906418791894819E-2</v>
      </c>
      <c r="F31" s="37">
        <v>0</v>
      </c>
      <c r="G31" s="37">
        <v>5.370128957860363E-2</v>
      </c>
      <c r="H31" s="37">
        <v>1.2454876870543131E-2</v>
      </c>
      <c r="I31" s="37">
        <v>5.6204422288380851E-2</v>
      </c>
      <c r="J31" s="37">
        <v>-2.880969859195914E-2</v>
      </c>
      <c r="K31" s="37">
        <v>-3.1906418791894819E-2</v>
      </c>
      <c r="L31" s="37">
        <v>-1.7869862945043111E-3</v>
      </c>
      <c r="M31" s="37"/>
      <c r="N31" s="37">
        <v>1.461403551364282E-2</v>
      </c>
    </row>
    <row r="32" spans="2:14" x14ac:dyDescent="0.2">
      <c r="B32" s="36">
        <v>42094</v>
      </c>
      <c r="C32" s="37">
        <v>-1.5705406452948049E-2</v>
      </c>
      <c r="D32" s="37">
        <v>9.1100948520339564E-3</v>
      </c>
      <c r="E32" s="37">
        <v>1.841614444175965E-3</v>
      </c>
      <c r="F32" s="37">
        <v>0</v>
      </c>
      <c r="G32" s="37">
        <v>1.591241348511634E-2</v>
      </c>
      <c r="H32" s="37">
        <v>-5.1376917602488524E-3</v>
      </c>
      <c r="I32" s="37">
        <v>-1.5705406452948049E-2</v>
      </c>
      <c r="J32" s="37">
        <v>9.1100948520339564E-3</v>
      </c>
      <c r="K32" s="37">
        <v>1.841614444175965E-3</v>
      </c>
      <c r="L32" s="37">
        <v>-1.8748004153985191E-2</v>
      </c>
      <c r="M32" s="37"/>
      <c r="N32" s="37">
        <v>-3.4948250677707682E-3</v>
      </c>
    </row>
    <row r="33" spans="2:14" x14ac:dyDescent="0.2">
      <c r="B33" s="36">
        <v>42124</v>
      </c>
      <c r="C33" s="37">
        <v>9.8337778746278026E-3</v>
      </c>
      <c r="D33" s="37">
        <v>-1.098844440909752E-2</v>
      </c>
      <c r="E33" s="37">
        <v>-2.0391738282168781E-2</v>
      </c>
      <c r="F33" s="37">
        <v>-2.1842664291094049E-4</v>
      </c>
      <c r="G33" s="37">
        <v>-7.7026527422990002E-2</v>
      </c>
      <c r="H33" s="37">
        <v>-2.1193951401634211E-2</v>
      </c>
      <c r="I33" s="37">
        <v>9.8337778746278026E-3</v>
      </c>
      <c r="J33" s="37">
        <v>-1.098844440909752E-2</v>
      </c>
      <c r="K33" s="37">
        <v>-2.0391738282168781E-2</v>
      </c>
      <c r="L33" s="37">
        <v>4.6721526402035238E-2</v>
      </c>
      <c r="M33" s="37"/>
      <c r="N33" s="37">
        <v>-2.0398792266995591E-2</v>
      </c>
    </row>
    <row r="34" spans="2:14" x14ac:dyDescent="0.2">
      <c r="B34" s="36">
        <v>42155</v>
      </c>
      <c r="C34" s="37">
        <v>1.285612956614246E-2</v>
      </c>
      <c r="D34" s="37">
        <v>-5.1327475839059167E-3</v>
      </c>
      <c r="E34" s="37">
        <v>-2.8553206690446139E-2</v>
      </c>
      <c r="F34" s="37">
        <v>-2.1931022910348649E-4</v>
      </c>
      <c r="G34" s="37">
        <v>6.7245222097556262E-2</v>
      </c>
      <c r="H34" s="37">
        <v>-2.9264867995147892E-4</v>
      </c>
      <c r="I34" s="37">
        <v>1.285612956614246E-2</v>
      </c>
      <c r="J34" s="37">
        <v>-5.1327475839059167E-3</v>
      </c>
      <c r="K34" s="37">
        <v>-2.8553206690446139E-2</v>
      </c>
      <c r="L34" s="37">
        <v>-6.6916533791789631E-3</v>
      </c>
      <c r="M34" s="37"/>
      <c r="N34" s="37">
        <v>9.3966379654768506E-3</v>
      </c>
    </row>
    <row r="35" spans="2:14" x14ac:dyDescent="0.2">
      <c r="B35" s="36">
        <v>42185</v>
      </c>
      <c r="C35" s="37">
        <v>-2.0312025702075239E-2</v>
      </c>
      <c r="D35" s="37">
        <v>-1.9944719696869621E-2</v>
      </c>
      <c r="E35" s="37">
        <v>-3.6807590209044998E-2</v>
      </c>
      <c r="F35" s="37">
        <v>0</v>
      </c>
      <c r="G35" s="37">
        <v>1.143737355930286E-2</v>
      </c>
      <c r="H35" s="37">
        <v>-1.3871913036222349E-2</v>
      </c>
      <c r="I35" s="37">
        <v>-2.0312025702075239E-2</v>
      </c>
      <c r="J35" s="37">
        <v>-1.9944719696869621E-2</v>
      </c>
      <c r="K35" s="37">
        <v>-3.6807590209044998E-2</v>
      </c>
      <c r="L35" s="37">
        <v>-1.4105238040387521E-2</v>
      </c>
      <c r="M35" s="37"/>
      <c r="N35" s="37">
        <v>-1.7129423748433289E-2</v>
      </c>
    </row>
    <row r="36" spans="2:14" x14ac:dyDescent="0.2">
      <c r="B36" s="36">
        <v>42216</v>
      </c>
      <c r="C36" s="37">
        <v>2.258928959607065E-2</v>
      </c>
      <c r="D36" s="37">
        <v>2.4978791569875369E-2</v>
      </c>
      <c r="E36" s="37">
        <v>2.7701900326528639E-2</v>
      </c>
      <c r="F36" s="37">
        <v>0</v>
      </c>
      <c r="G36" s="37">
        <v>-4.9870387381724195E-4</v>
      </c>
      <c r="H36" s="37">
        <v>5.4172588007363617E-2</v>
      </c>
      <c r="I36" s="37">
        <v>2.258928959607065E-2</v>
      </c>
      <c r="J36" s="37">
        <v>2.4978791569875369E-2</v>
      </c>
      <c r="K36" s="37">
        <v>2.7701900326528639E-2</v>
      </c>
      <c r="L36" s="37">
        <v>-0.10264173810850991</v>
      </c>
      <c r="M36" s="37"/>
      <c r="N36" s="37">
        <v>4.2892857468444838E-2</v>
      </c>
    </row>
    <row r="37" spans="2:14" x14ac:dyDescent="0.2">
      <c r="B37" s="36">
        <v>42247</v>
      </c>
      <c r="C37" s="37">
        <v>-6.0950234844320723E-2</v>
      </c>
      <c r="D37" s="37">
        <v>-5.3565969329270047E-3</v>
      </c>
      <c r="E37" s="37">
        <v>-2.1183061887953158E-2</v>
      </c>
      <c r="F37" s="37">
        <v>0</v>
      </c>
      <c r="G37" s="37">
        <v>-2.9531098113843159E-2</v>
      </c>
      <c r="H37" s="37">
        <v>-5.3646264376093718E-2</v>
      </c>
      <c r="I37" s="37">
        <v>-6.0950234844320723E-2</v>
      </c>
      <c r="J37" s="37">
        <v>-5.3565969329270047E-3</v>
      </c>
      <c r="K37" s="37">
        <v>-2.1183061887953158E-2</v>
      </c>
      <c r="L37" s="37">
        <v>-4.9810188537262605E-4</v>
      </c>
      <c r="M37" s="37"/>
      <c r="N37" s="37">
        <v>-5.0107016953646721E-2</v>
      </c>
    </row>
    <row r="38" spans="2:14" x14ac:dyDescent="0.2">
      <c r="B38" s="36">
        <v>42277</v>
      </c>
      <c r="C38" s="37">
        <v>-2.551572671712854E-2</v>
      </c>
      <c r="D38" s="37">
        <v>1.832449178053186E-2</v>
      </c>
      <c r="E38" s="37">
        <v>1.411027713550328E-2</v>
      </c>
      <c r="F38" s="37">
        <v>-4.3683556318030448E-4</v>
      </c>
      <c r="G38" s="37">
        <v>-3.1660961425917983E-2</v>
      </c>
      <c r="H38" s="37">
        <v>-6.9817144975387367E-3</v>
      </c>
      <c r="I38" s="37">
        <v>-2.551572671712854E-2</v>
      </c>
      <c r="J38" s="37">
        <v>1.832449178053186E-2</v>
      </c>
      <c r="K38" s="37">
        <v>1.411027713550328E-2</v>
      </c>
      <c r="L38" s="37">
        <v>-2.2326390672370609E-2</v>
      </c>
      <c r="M38" s="37"/>
      <c r="N38" s="37">
        <v>-3.648706791349321E-3</v>
      </c>
    </row>
    <row r="39" spans="2:14" x14ac:dyDescent="0.2">
      <c r="B39" s="36">
        <v>42308</v>
      </c>
      <c r="C39" s="37">
        <v>8.5059477644137793E-2</v>
      </c>
      <c r="D39" s="37">
        <v>-7.7642908169353042E-3</v>
      </c>
      <c r="E39" s="37">
        <v>9.5800961614469493E-3</v>
      </c>
      <c r="F39" s="37">
        <v>-2.1934965024295039E-4</v>
      </c>
      <c r="G39" s="37">
        <v>7.903387852832662E-2</v>
      </c>
      <c r="H39" s="37">
        <v>6.5553629896375712E-2</v>
      </c>
      <c r="I39" s="37">
        <v>8.5059477644137793E-2</v>
      </c>
      <c r="J39" s="37">
        <v>-7.7642908169353042E-3</v>
      </c>
      <c r="K39" s="37">
        <v>9.5800961614469493E-3</v>
      </c>
      <c r="L39" s="37">
        <v>2.114360676867038E-2</v>
      </c>
      <c r="M39" s="37"/>
      <c r="N39" s="37">
        <v>6.8796357729253854E-2</v>
      </c>
    </row>
    <row r="40" spans="2:14" x14ac:dyDescent="0.2">
      <c r="B40" s="36">
        <v>42338</v>
      </c>
      <c r="C40" s="37">
        <v>3.6552448437878748E-3</v>
      </c>
      <c r="D40" s="37">
        <v>-3.9711248483782491E-3</v>
      </c>
      <c r="E40" s="37">
        <v>-2.6101924287524891E-3</v>
      </c>
      <c r="F40" s="37">
        <v>2.1939777506818639E-4</v>
      </c>
      <c r="G40" s="37">
        <v>1.372045822032566E-2</v>
      </c>
      <c r="H40" s="37">
        <v>-5.4482304220703657E-3</v>
      </c>
      <c r="I40" s="37">
        <v>3.6552448437878748E-3</v>
      </c>
      <c r="J40" s="37">
        <v>-3.9711248483782491E-3</v>
      </c>
      <c r="K40" s="37">
        <v>-2.6101924287524891E-3</v>
      </c>
      <c r="L40" s="37">
        <v>-8.6830790899309146E-2</v>
      </c>
      <c r="M40" s="37"/>
      <c r="N40" s="37">
        <v>1.0656403548498171E-2</v>
      </c>
    </row>
    <row r="41" spans="2:14" x14ac:dyDescent="0.2">
      <c r="B41" s="36">
        <v>42369</v>
      </c>
      <c r="C41" s="37">
        <v>-1.7282865554718582E-2</v>
      </c>
      <c r="D41" s="37">
        <v>-3.6125522954366658E-3</v>
      </c>
      <c r="E41" s="37">
        <v>-1.281024751475301E-2</v>
      </c>
      <c r="F41" s="37">
        <v>-2.1934965024295039E-4</v>
      </c>
      <c r="G41" s="37">
        <v>-1.796000689842818E-2</v>
      </c>
      <c r="H41" s="37">
        <v>4.2264814659163548E-3</v>
      </c>
      <c r="I41" s="37">
        <v>-1.7282865554718582E-2</v>
      </c>
      <c r="J41" s="37">
        <v>-3.6125522954366658E-3</v>
      </c>
      <c r="K41" s="37">
        <v>-1.281024751475301E-2</v>
      </c>
      <c r="L41" s="37">
        <v>-2.5027445008043971E-2</v>
      </c>
      <c r="M41" s="37"/>
      <c r="N41" s="37">
        <v>-1.5724576891588129E-3</v>
      </c>
    </row>
    <row r="42" spans="2:14" x14ac:dyDescent="0.2">
      <c r="B42" s="36">
        <v>42400</v>
      </c>
      <c r="C42" s="37">
        <v>-4.9786091893704421E-2</v>
      </c>
      <c r="D42" s="37">
        <v>3.7031722962568507E-2</v>
      </c>
      <c r="E42" s="37">
        <v>-4.0387659237425266E-3</v>
      </c>
      <c r="F42" s="37">
        <v>2.1939777506818639E-4</v>
      </c>
      <c r="G42" s="37">
        <v>-8.4344391290000556E-2</v>
      </c>
      <c r="H42" s="37">
        <v>9.8335074399785952E-3</v>
      </c>
      <c r="I42" s="37">
        <v>-4.9786091893704421E-2</v>
      </c>
      <c r="J42" s="37">
        <v>3.7031722962568507E-2</v>
      </c>
      <c r="K42" s="37">
        <v>-4.0387659237425266E-3</v>
      </c>
      <c r="L42" s="37">
        <v>-2.2784800324371579E-2</v>
      </c>
      <c r="M42" s="37">
        <v>-7.9949191228560035E-2</v>
      </c>
      <c r="N42" s="37">
        <v>-1.756388620880045E-2</v>
      </c>
    </row>
    <row r="43" spans="2:14" x14ac:dyDescent="0.2">
      <c r="B43" s="36">
        <v>42429</v>
      </c>
      <c r="C43" s="37">
        <v>-8.2648481135616514E-4</v>
      </c>
      <c r="D43" s="37">
        <v>1.857340836674104E-2</v>
      </c>
      <c r="E43" s="37">
        <v>1.0437222800970151E-2</v>
      </c>
      <c r="F43" s="37">
        <v>0</v>
      </c>
      <c r="G43" s="37">
        <v>-1.101371519719363E-2</v>
      </c>
      <c r="H43" s="37">
        <v>2.4992585451437621E-2</v>
      </c>
      <c r="I43" s="37">
        <v>-8.2648481135616514E-4</v>
      </c>
      <c r="J43" s="37">
        <v>1.857340836674104E-2</v>
      </c>
      <c r="K43" s="37">
        <v>1.0437222800970151E-2</v>
      </c>
      <c r="L43" s="37">
        <v>2.406786214117786E-2</v>
      </c>
      <c r="M43" s="37">
        <v>2.9885373044762349E-3</v>
      </c>
      <c r="N43" s="37">
        <v>9.8864419509723245E-3</v>
      </c>
    </row>
    <row r="44" spans="2:14" x14ac:dyDescent="0.2">
      <c r="B44" s="36">
        <v>42460</v>
      </c>
      <c r="C44" s="37">
        <v>6.7266393406216318E-2</v>
      </c>
      <c r="D44" s="37">
        <v>1.294883511303579E-3</v>
      </c>
      <c r="E44" s="37">
        <v>6.386729510140432E-2</v>
      </c>
      <c r="F44" s="37">
        <v>0</v>
      </c>
      <c r="G44" s="37">
        <v>6.6370300440313695E-2</v>
      </c>
      <c r="H44" s="37">
        <v>5.4874855452551052E-2</v>
      </c>
      <c r="I44" s="37">
        <v>6.7266393406216318E-2</v>
      </c>
      <c r="J44" s="37">
        <v>1.294883511303579E-3</v>
      </c>
      <c r="K44" s="37">
        <v>6.386729510140432E-2</v>
      </c>
      <c r="L44" s="37">
        <v>3.3185397688005408E-2</v>
      </c>
      <c r="M44" s="37">
        <v>3.6855119453783391E-2</v>
      </c>
      <c r="N44" s="37">
        <v>5.9913697094402973E-2</v>
      </c>
    </row>
    <row r="45" spans="2:14" x14ac:dyDescent="0.2">
      <c r="B45" s="36">
        <v>42490</v>
      </c>
      <c r="C45" s="37">
        <v>3.9411467797030308E-3</v>
      </c>
      <c r="D45" s="37">
        <v>-3.7655756418480961E-3</v>
      </c>
      <c r="E45" s="37">
        <v>2.322258863496196E-2</v>
      </c>
      <c r="F45" s="37">
        <v>4.3702647188537108E-4</v>
      </c>
      <c r="G45" s="37">
        <v>-2.7288175287099221E-2</v>
      </c>
      <c r="H45" s="37">
        <v>-1.24194600090344E-2</v>
      </c>
      <c r="I45" s="37">
        <v>3.9411467797030308E-3</v>
      </c>
      <c r="J45" s="37">
        <v>-3.7655756418480961E-3</v>
      </c>
      <c r="K45" s="37">
        <v>2.322258863496196E-2</v>
      </c>
      <c r="L45" s="37">
        <v>8.6497915783613613E-2</v>
      </c>
      <c r="M45" s="37">
        <v>5.3494865525107738E-3</v>
      </c>
      <c r="N45" s="37">
        <v>-7.9695344298593707E-3</v>
      </c>
    </row>
    <row r="46" spans="2:14" x14ac:dyDescent="0.2">
      <c r="B46" s="36">
        <v>42521</v>
      </c>
      <c r="C46" s="37">
        <v>1.7011753375131059E-2</v>
      </c>
      <c r="D46" s="37">
        <v>2.9106019724873811E-3</v>
      </c>
      <c r="E46" s="37">
        <v>-3.2898018774273341E-3</v>
      </c>
      <c r="F46" s="37">
        <v>-5.0000000000000001E-4</v>
      </c>
      <c r="G46" s="37">
        <v>3.7931802865773787E-2</v>
      </c>
      <c r="H46" s="37">
        <v>5.0305972011351584E-3</v>
      </c>
      <c r="I46" s="37">
        <v>1.7011753375131059E-2</v>
      </c>
      <c r="J46" s="37">
        <v>2.9106019724873811E-3</v>
      </c>
      <c r="K46" s="37">
        <v>-3.2898018774273341E-3</v>
      </c>
      <c r="L46" s="37">
        <v>-3.6229017006950401E-2</v>
      </c>
      <c r="M46" s="37">
        <v>2.990355592732152E-2</v>
      </c>
      <c r="N46" s="37">
        <v>1.6785141879356761E-2</v>
      </c>
    </row>
    <row r="47" spans="2:14" x14ac:dyDescent="0.2">
      <c r="B47" s="36">
        <v>42551</v>
      </c>
      <c r="C47" s="37">
        <v>3.4757505793490129E-3</v>
      </c>
      <c r="D47" s="37">
        <v>4.1837344490480932E-2</v>
      </c>
      <c r="E47" s="37">
        <v>4.7372083232529061E-2</v>
      </c>
      <c r="F47" s="37">
        <v>0.17527360788188301</v>
      </c>
      <c r="G47" s="37">
        <v>8.654922875933875E-2</v>
      </c>
      <c r="H47" s="37">
        <v>6.9309266500998931E-2</v>
      </c>
      <c r="I47" s="37">
        <v>3.4757505793490129E-3</v>
      </c>
      <c r="J47" s="37">
        <v>4.1837344490480932E-2</v>
      </c>
      <c r="K47" s="37">
        <v>4.7372083232529061E-2</v>
      </c>
      <c r="L47" s="37">
        <v>6.3505084139839019E-2</v>
      </c>
      <c r="M47" s="37">
        <v>-1.1313557635289521E-2</v>
      </c>
      <c r="N47" s="37">
        <v>5.7407777514628888E-2</v>
      </c>
    </row>
    <row r="48" spans="2:14" x14ac:dyDescent="0.2">
      <c r="B48" s="36">
        <v>42582</v>
      </c>
      <c r="C48" s="37">
        <v>3.6471031596010388E-2</v>
      </c>
      <c r="D48" s="37">
        <v>6.5715988461914074E-3</v>
      </c>
      <c r="E48" s="37">
        <v>2.550463864267782E-2</v>
      </c>
      <c r="F48" s="37">
        <v>-6.2337392191579976E-5</v>
      </c>
      <c r="G48" s="37">
        <v>3.8163055399431253E-2</v>
      </c>
      <c r="H48" s="37">
        <v>6.9997039459984587E-3</v>
      </c>
      <c r="I48" s="37">
        <v>3.6471031596010388E-2</v>
      </c>
      <c r="J48" s="37">
        <v>6.5715988461914074E-3</v>
      </c>
      <c r="K48" s="37">
        <v>2.550463864267782E-2</v>
      </c>
      <c r="L48" s="37">
        <v>-2.2527818168820719E-2</v>
      </c>
      <c r="M48" s="37">
        <v>6.1132722896684921E-2</v>
      </c>
      <c r="N48" s="37">
        <v>2.23444819299301E-3</v>
      </c>
    </row>
    <row r="49" spans="2:14" x14ac:dyDescent="0.2">
      <c r="B49" s="36">
        <v>42613</v>
      </c>
      <c r="C49" s="37">
        <v>1.197548074975519E-3</v>
      </c>
      <c r="D49" s="37">
        <v>-1.1194539551451671E-2</v>
      </c>
      <c r="E49" s="37">
        <v>1.588321969836493E-3</v>
      </c>
      <c r="F49" s="37">
        <v>-5.8900472573195202E-2</v>
      </c>
      <c r="G49" s="37">
        <v>-4.4282920882170368E-2</v>
      </c>
      <c r="H49" s="37">
        <v>-3.5277078269886519E-2</v>
      </c>
      <c r="I49" s="37">
        <v>1.197548074975519E-3</v>
      </c>
      <c r="J49" s="37">
        <v>-1.1194539551451671E-2</v>
      </c>
      <c r="K49" s="37">
        <v>1.588321969836493E-3</v>
      </c>
      <c r="L49" s="37">
        <v>-2.7019143375828E-2</v>
      </c>
      <c r="M49" s="37">
        <v>-1.703073523293153E-2</v>
      </c>
      <c r="N49" s="37">
        <v>-1.9058339659098759E-2</v>
      </c>
    </row>
    <row r="50" spans="2:14" x14ac:dyDescent="0.2">
      <c r="B50" s="36">
        <v>42643</v>
      </c>
      <c r="C50" s="37">
        <v>5.8178275045506211E-5</v>
      </c>
      <c r="D50" s="37">
        <v>-3.1590987376342028E-3</v>
      </c>
      <c r="E50" s="37">
        <v>-4.472680692997888E-3</v>
      </c>
      <c r="F50" s="37">
        <v>2.7088118972059538E-2</v>
      </c>
      <c r="G50" s="37">
        <v>1.6526722683298061E-2</v>
      </c>
      <c r="H50" s="37">
        <v>-3.0274970470685939E-3</v>
      </c>
      <c r="I50" s="37">
        <v>5.8178275045506211E-5</v>
      </c>
      <c r="J50" s="37">
        <v>-3.1590987376342028E-3</v>
      </c>
      <c r="K50" s="37">
        <v>-4.472680692997888E-3</v>
      </c>
      <c r="L50" s="37">
        <v>2.7007174367636839E-2</v>
      </c>
      <c r="M50" s="37">
        <v>2.1029791775196038E-2</v>
      </c>
      <c r="N50" s="37">
        <v>-8.9177879185516895E-3</v>
      </c>
    </row>
    <row r="51" spans="2:14" x14ac:dyDescent="0.2">
      <c r="B51" s="36">
        <v>42674</v>
      </c>
      <c r="C51" s="37">
        <v>-1.7337188587174149E-2</v>
      </c>
      <c r="D51" s="37">
        <v>-2.278998945595645E-2</v>
      </c>
      <c r="E51" s="37">
        <v>-2.4880858712471369E-2</v>
      </c>
      <c r="F51" s="37">
        <v>-6.8082494396901672E-2</v>
      </c>
      <c r="G51" s="37">
        <v>-2.6207558182322881E-2</v>
      </c>
      <c r="H51" s="37">
        <v>-1.6916961599679689E-2</v>
      </c>
      <c r="I51" s="37">
        <v>-1.7337188587174149E-2</v>
      </c>
      <c r="J51" s="37">
        <v>-2.278998945595645E-2</v>
      </c>
      <c r="K51" s="37">
        <v>-2.4880858712471369E-2</v>
      </c>
      <c r="L51" s="37">
        <v>-2.200988736959399E-2</v>
      </c>
      <c r="M51" s="37">
        <v>-3.2940868007087842E-2</v>
      </c>
      <c r="N51" s="37">
        <v>-2.323862770382135E-2</v>
      </c>
    </row>
    <row r="52" spans="2:14" x14ac:dyDescent="0.2">
      <c r="B52" s="36">
        <v>42704</v>
      </c>
      <c r="C52" s="37">
        <v>3.6838454061865589E-2</v>
      </c>
      <c r="D52" s="37">
        <v>-5.244751602417308E-2</v>
      </c>
      <c r="E52" s="37">
        <v>-4.8950083316183217E-2</v>
      </c>
      <c r="F52" s="37">
        <v>-4.3727984573327378E-4</v>
      </c>
      <c r="G52" s="37">
        <v>4.9015583748085463E-2</v>
      </c>
      <c r="H52" s="37">
        <v>2.6192230866426739E-3</v>
      </c>
      <c r="I52" s="37">
        <v>3.6838454061865589E-2</v>
      </c>
      <c r="J52" s="37">
        <v>-5.244751602417308E-2</v>
      </c>
      <c r="K52" s="37">
        <v>-4.8950083316183217E-2</v>
      </c>
      <c r="L52" s="37">
        <v>3.5637883204597152E-3</v>
      </c>
      <c r="M52" s="37">
        <v>5.1325290180916687E-2</v>
      </c>
      <c r="N52" s="37">
        <v>5.2611377977891394E-3</v>
      </c>
    </row>
    <row r="53" spans="2:14" x14ac:dyDescent="0.2">
      <c r="B53" s="36">
        <v>42735</v>
      </c>
      <c r="C53" s="37">
        <v>2.0271929850810281E-2</v>
      </c>
      <c r="D53" s="37">
        <v>-2.982016087313744E-3</v>
      </c>
      <c r="E53" s="37">
        <v>2.1434847169747199E-2</v>
      </c>
      <c r="F53" s="37">
        <v>-2.8142115327095502E-4</v>
      </c>
      <c r="G53" s="37">
        <v>2.1569093148334391E-2</v>
      </c>
      <c r="H53" s="37">
        <v>4.3166392365996321E-2</v>
      </c>
      <c r="I53" s="37">
        <v>2.0271929850810281E-2</v>
      </c>
      <c r="J53" s="37">
        <v>-2.982016087313744E-3</v>
      </c>
      <c r="K53" s="37">
        <v>2.1434847169747199E-2</v>
      </c>
      <c r="L53" s="37">
        <v>-2.4920484482854111E-3</v>
      </c>
      <c r="M53" s="37">
        <v>-1.1165433213198959E-2</v>
      </c>
      <c r="N53" s="37">
        <v>2.5924078287059119E-2</v>
      </c>
    </row>
    <row r="54" spans="2:14" x14ac:dyDescent="0.2">
      <c r="B54" s="36">
        <v>42766</v>
      </c>
      <c r="C54" s="37">
        <v>1.7894650898624631E-2</v>
      </c>
      <c r="D54" s="37">
        <v>4.5891777898030561E-3</v>
      </c>
      <c r="E54" s="37">
        <v>1.454524437937144E-3</v>
      </c>
      <c r="F54" s="37">
        <v>8.7461790324877997E-2</v>
      </c>
      <c r="G54" s="37">
        <v>3.2131776597400907E-2</v>
      </c>
      <c r="H54" s="37">
        <v>-2.546425776852412E-3</v>
      </c>
      <c r="I54" s="37">
        <v>1.7894650898624631E-2</v>
      </c>
      <c r="J54" s="37">
        <v>4.5891777898030561E-3</v>
      </c>
      <c r="K54" s="37">
        <v>1.454524437937144E-3</v>
      </c>
      <c r="L54" s="37">
        <v>4.593044419111867E-2</v>
      </c>
      <c r="M54" s="37">
        <v>3.3994144867958147E-2</v>
      </c>
      <c r="N54" s="37">
        <v>7.5884461881892129E-3</v>
      </c>
    </row>
    <row r="55" spans="2:14" x14ac:dyDescent="0.2">
      <c r="B55" s="36">
        <v>42794</v>
      </c>
      <c r="C55" s="37">
        <v>3.929145532117162E-2</v>
      </c>
      <c r="D55" s="37">
        <v>1.094159336087519E-2</v>
      </c>
      <c r="E55" s="37">
        <v>1.8160282631498829E-2</v>
      </c>
      <c r="F55" s="37">
        <v>-1.118619385376768E-2</v>
      </c>
      <c r="G55" s="37">
        <v>1.213702813479877E-2</v>
      </c>
      <c r="H55" s="37">
        <v>4.100572441279824E-2</v>
      </c>
      <c r="I55" s="37">
        <v>3.929145532117162E-2</v>
      </c>
      <c r="J55" s="37">
        <v>1.094159336087519E-2</v>
      </c>
      <c r="K55" s="37">
        <v>1.8160282631498829E-2</v>
      </c>
      <c r="L55" s="37">
        <v>1.34679332941233E-2</v>
      </c>
      <c r="M55" s="37">
        <v>1.761267309225234E-2</v>
      </c>
      <c r="N55" s="37">
        <v>4.3521685090971207E-2</v>
      </c>
    </row>
    <row r="56" spans="2:14" x14ac:dyDescent="0.2">
      <c r="B56" s="36">
        <v>42825</v>
      </c>
      <c r="C56" s="37">
        <v>1.249917108039122E-3</v>
      </c>
      <c r="D56" s="37">
        <v>-1.55268166678757E-3</v>
      </c>
      <c r="E56" s="37">
        <v>-6.5206419226453427E-3</v>
      </c>
      <c r="F56" s="37">
        <v>-4.3830243408319869E-2</v>
      </c>
      <c r="G56" s="37">
        <v>-3.6878122663277292E-4</v>
      </c>
      <c r="H56" s="37">
        <v>5.5656908942337234E-3</v>
      </c>
      <c r="I56" s="37">
        <v>1.249917108039122E-3</v>
      </c>
      <c r="J56" s="37">
        <v>-1.55268166678757E-3</v>
      </c>
      <c r="K56" s="37">
        <v>-6.5206419226453427E-3</v>
      </c>
      <c r="L56" s="37">
        <v>-2.3727702820929109E-2</v>
      </c>
      <c r="M56" s="37">
        <v>-1.5736636894838289E-2</v>
      </c>
      <c r="N56" s="37">
        <v>-2.736416405374476E-4</v>
      </c>
    </row>
    <row r="57" spans="2:14" x14ac:dyDescent="0.2">
      <c r="B57" s="36">
        <v>42855</v>
      </c>
      <c r="C57" s="37">
        <v>9.9263857912588183E-3</v>
      </c>
      <c r="D57" s="37">
        <v>1.295748541178599E-2</v>
      </c>
      <c r="E57" s="37">
        <v>1.1899246310177469E-2</v>
      </c>
      <c r="F57" s="37">
        <v>2.4412815663404959E-4</v>
      </c>
      <c r="G57" s="37">
        <v>-1.8691551128219689E-2</v>
      </c>
      <c r="H57" s="37">
        <v>1.388245487040648E-2</v>
      </c>
      <c r="I57" s="37">
        <v>9.9263857912588183E-3</v>
      </c>
      <c r="J57" s="37">
        <v>1.295748541178599E-2</v>
      </c>
      <c r="K57" s="37">
        <v>1.1899246310177469E-2</v>
      </c>
      <c r="L57" s="37">
        <v>-2.022140681045255E-2</v>
      </c>
      <c r="M57" s="37">
        <v>-2.3845802361713848E-3</v>
      </c>
      <c r="N57" s="37">
        <v>1.0370124397303339E-2</v>
      </c>
    </row>
    <row r="58" spans="2:14" x14ac:dyDescent="0.2">
      <c r="B58" s="36">
        <v>42886</v>
      </c>
      <c r="C58" s="37">
        <v>1.4112776237372501E-2</v>
      </c>
      <c r="D58" s="37">
        <v>9.4000141112005053E-3</v>
      </c>
      <c r="E58" s="37">
        <v>2.4698881778588699E-2</v>
      </c>
      <c r="F58" s="37">
        <v>-8.7839877401496014E-3</v>
      </c>
      <c r="G58" s="37">
        <v>1.564288509894253E-3</v>
      </c>
      <c r="H58" s="37">
        <v>2.4588255888507951E-2</v>
      </c>
      <c r="I58" s="37">
        <v>1.4112776237372501E-2</v>
      </c>
      <c r="J58" s="37">
        <v>9.4000141112005053E-3</v>
      </c>
      <c r="K58" s="37">
        <v>2.4698881778588699E-2</v>
      </c>
      <c r="L58" s="37">
        <v>-3.838027927223253E-3</v>
      </c>
      <c r="M58" s="37">
        <v>-2.590157728518561E-2</v>
      </c>
      <c r="N58" s="37">
        <v>2.726799855629403E-2</v>
      </c>
    </row>
    <row r="59" spans="2:14" x14ac:dyDescent="0.2">
      <c r="B59" s="36">
        <v>42916</v>
      </c>
      <c r="C59" s="37">
        <v>6.3750149976713466E-3</v>
      </c>
      <c r="D59" s="37">
        <v>-3.0262652095314202E-3</v>
      </c>
      <c r="E59" s="37">
        <v>1.1502522634683651E-2</v>
      </c>
      <c r="F59" s="37">
        <v>1.0287896323868399E-3</v>
      </c>
      <c r="G59" s="37">
        <v>8.3461094094758881E-3</v>
      </c>
      <c r="H59" s="37">
        <v>9.2498919426469155E-4</v>
      </c>
      <c r="I59" s="37">
        <v>6.3750149976713466E-3</v>
      </c>
      <c r="J59" s="37">
        <v>-3.0262652095314202E-3</v>
      </c>
      <c r="K59" s="37">
        <v>1.1502522634683651E-2</v>
      </c>
      <c r="L59" s="37">
        <v>-1.479385332074676E-2</v>
      </c>
      <c r="M59" s="37">
        <v>-2.5358960020924748E-3</v>
      </c>
      <c r="N59" s="37">
        <v>-3.0742776480897631E-3</v>
      </c>
    </row>
    <row r="60" spans="2:14" x14ac:dyDescent="0.2">
      <c r="B60" s="36">
        <v>42947</v>
      </c>
      <c r="C60" s="37">
        <v>2.0553917411854531E-2</v>
      </c>
      <c r="D60" s="37">
        <v>9.9097258551950063E-4</v>
      </c>
      <c r="E60" s="37">
        <v>7.8071335452145618E-3</v>
      </c>
      <c r="F60" s="37">
        <v>3.2806173853128229E-4</v>
      </c>
      <c r="G60" s="37">
        <v>3.716648367500739E-2</v>
      </c>
      <c r="H60" s="37">
        <v>1.7338492059668781E-2</v>
      </c>
      <c r="I60" s="37">
        <v>2.0553917411854531E-2</v>
      </c>
      <c r="J60" s="37">
        <v>9.9097258551950063E-4</v>
      </c>
      <c r="K60" s="37">
        <v>7.8071335452145618E-3</v>
      </c>
      <c r="L60" s="37">
        <v>3.7788883500275892E-2</v>
      </c>
      <c r="M60" s="37">
        <v>5.2482823178748417E-2</v>
      </c>
      <c r="N60" s="37">
        <v>1.3730030723558381E-2</v>
      </c>
    </row>
    <row r="61" spans="2:14" x14ac:dyDescent="0.2">
      <c r="B61" s="36">
        <v>42978</v>
      </c>
      <c r="C61" s="37">
        <v>2.917801964258615E-3</v>
      </c>
      <c r="D61" s="37">
        <v>2.094556024076422E-2</v>
      </c>
      <c r="E61" s="37">
        <v>1.166201456900828E-2</v>
      </c>
      <c r="F61" s="37">
        <v>1.137997773785981E-3</v>
      </c>
      <c r="G61" s="37">
        <v>4.0309183926539878E-2</v>
      </c>
      <c r="H61" s="37">
        <v>-1.332096725524723E-3</v>
      </c>
      <c r="I61" s="37">
        <v>2.917801964258615E-3</v>
      </c>
      <c r="J61" s="37">
        <v>2.094556024076422E-2</v>
      </c>
      <c r="K61" s="37">
        <v>1.166201456900828E-2</v>
      </c>
      <c r="L61" s="37">
        <v>4.686589829301346E-3</v>
      </c>
      <c r="M61" s="37">
        <v>-2.685114295508662E-3</v>
      </c>
      <c r="N61" s="37">
        <v>7.6031378217378256E-3</v>
      </c>
    </row>
    <row r="62" spans="2:14" x14ac:dyDescent="0.2">
      <c r="B62" s="36">
        <v>43008</v>
      </c>
      <c r="C62" s="37">
        <v>2.014932752813792E-2</v>
      </c>
      <c r="D62" s="37">
        <v>-1.6784552139107681E-2</v>
      </c>
      <c r="E62" s="37">
        <v>1.158429957286433E-4</v>
      </c>
      <c r="F62" s="37">
        <v>2.219481281310891E-4</v>
      </c>
      <c r="G62" s="37">
        <v>4.6202996360343029E-2</v>
      </c>
      <c r="H62" s="37">
        <v>-4.038967492403289E-4</v>
      </c>
      <c r="I62" s="37">
        <v>2.014932752813792E-2</v>
      </c>
      <c r="J62" s="37">
        <v>-1.6784552139107681E-2</v>
      </c>
      <c r="K62" s="37">
        <v>1.158429957286433E-4</v>
      </c>
      <c r="L62" s="37">
        <v>-5.9937213350264697E-3</v>
      </c>
      <c r="M62" s="37">
        <v>4.5307592462637818E-2</v>
      </c>
      <c r="N62" s="37">
        <v>7.775111666320722E-3</v>
      </c>
    </row>
    <row r="63" spans="2:14" x14ac:dyDescent="0.2">
      <c r="B63" s="36">
        <v>43039</v>
      </c>
      <c r="C63" s="37">
        <v>2.356427187593169E-2</v>
      </c>
      <c r="D63" s="37">
        <v>-8.959578222564879E-4</v>
      </c>
      <c r="E63" s="37">
        <v>7.0866313923148017E-3</v>
      </c>
      <c r="F63" s="37">
        <v>5.0131863712044478E-2</v>
      </c>
      <c r="G63" s="37">
        <v>7.2566649907537251E-2</v>
      </c>
      <c r="H63" s="37">
        <v>3.0280133091291E-2</v>
      </c>
      <c r="I63" s="37">
        <v>2.356427187593169E-2</v>
      </c>
      <c r="J63" s="37">
        <v>-8.959578222564879E-4</v>
      </c>
      <c r="K63" s="37">
        <v>7.0866313923148017E-3</v>
      </c>
      <c r="L63" s="37">
        <v>2.3599689674892139E-2</v>
      </c>
      <c r="M63" s="37">
        <v>3.5028433658488067E-2</v>
      </c>
      <c r="N63" s="37">
        <v>1.7982626089142029E-2</v>
      </c>
    </row>
    <row r="64" spans="2:14" x14ac:dyDescent="0.2">
      <c r="B64" s="36">
        <v>43069</v>
      </c>
      <c r="C64" s="37">
        <v>3.056567746939098E-2</v>
      </c>
      <c r="D64" s="37">
        <v>-1.478773058790628E-3</v>
      </c>
      <c r="E64" s="37">
        <v>1.698730938939574E-3</v>
      </c>
      <c r="F64" s="37">
        <v>-1.2060290237125629E-2</v>
      </c>
      <c r="G64" s="37">
        <v>2.6021081556893009E-2</v>
      </c>
      <c r="H64" s="37">
        <v>1.8282622225394621E-2</v>
      </c>
      <c r="I64" s="37">
        <v>3.056567746939098E-2</v>
      </c>
      <c r="J64" s="37">
        <v>-1.478773058790628E-3</v>
      </c>
      <c r="K64" s="37">
        <v>1.698730938939574E-3</v>
      </c>
      <c r="L64" s="37">
        <v>9.3143686069259153E-4</v>
      </c>
      <c r="M64" s="37">
        <v>3.6971250507044078E-2</v>
      </c>
      <c r="N64" s="37">
        <v>3.8821156648020112E-2</v>
      </c>
    </row>
    <row r="65" spans="2:14" x14ac:dyDescent="0.2">
      <c r="B65" s="36">
        <v>43100</v>
      </c>
      <c r="C65" s="37">
        <v>1.212804714893867E-2</v>
      </c>
      <c r="D65" s="37">
        <v>5.7692167966560959E-3</v>
      </c>
      <c r="E65" s="37">
        <v>2.2038071704755691E-2</v>
      </c>
      <c r="F65" s="37">
        <v>7.071056100692491E-2</v>
      </c>
      <c r="G65" s="37">
        <v>7.0874733390384227E-3</v>
      </c>
      <c r="H65" s="37">
        <v>-1.050264772865247E-2</v>
      </c>
      <c r="I65" s="37">
        <v>1.212804714893867E-2</v>
      </c>
      <c r="J65" s="37">
        <v>5.7692167966560959E-3</v>
      </c>
      <c r="K65" s="37">
        <v>2.2038071704755691E-2</v>
      </c>
      <c r="L65" s="37">
        <v>3.0704626578102759E-2</v>
      </c>
      <c r="M65" s="37">
        <v>-1.9437796541963311E-2</v>
      </c>
      <c r="N65" s="37">
        <v>-9.0266525065395564E-3</v>
      </c>
    </row>
    <row r="66" spans="2:14" x14ac:dyDescent="0.2">
      <c r="B66" s="36">
        <v>43131</v>
      </c>
      <c r="C66" s="37">
        <v>5.6358996767470033E-2</v>
      </c>
      <c r="D66" s="37">
        <v>-2.6026688748458371E-2</v>
      </c>
      <c r="E66" s="37">
        <v>-1.096608993829962E-2</v>
      </c>
      <c r="F66" s="37">
        <v>8.1279477969559187E-4</v>
      </c>
      <c r="G66" s="37">
        <v>8.4599675993198717E-2</v>
      </c>
      <c r="H66" s="37">
        <v>2.2992377211653779E-2</v>
      </c>
      <c r="I66" s="37">
        <v>5.6358996767470033E-2</v>
      </c>
      <c r="J66" s="37">
        <v>-2.6026688748458371E-2</v>
      </c>
      <c r="K66" s="37">
        <v>-1.096608993829962E-2</v>
      </c>
      <c r="L66" s="37">
        <v>2.2079193867785118E-2</v>
      </c>
      <c r="M66" s="37">
        <v>7.1216238598040604E-2</v>
      </c>
      <c r="N66" s="37">
        <v>2.4404551823951511E-2</v>
      </c>
    </row>
    <row r="67" spans="2:14" x14ac:dyDescent="0.2">
      <c r="B67" s="36">
        <v>43159</v>
      </c>
      <c r="C67" s="37">
        <v>-3.6360305798356703E-2</v>
      </c>
      <c r="D67" s="37">
        <v>-1.5651363732023141E-2</v>
      </c>
      <c r="E67" s="37">
        <v>-3.80849228170419E-2</v>
      </c>
      <c r="F67" s="37">
        <v>-2.4960961378290181E-2</v>
      </c>
      <c r="G67" s="37">
        <v>-4.2741871538871601E-2</v>
      </c>
      <c r="H67" s="37">
        <v>-5.5425090535660498E-2</v>
      </c>
      <c r="I67" s="37">
        <v>-3.6360305798356703E-2</v>
      </c>
      <c r="J67" s="37">
        <v>-1.5651363732023141E-2</v>
      </c>
      <c r="K67" s="37">
        <v>-3.80849228170419E-2</v>
      </c>
      <c r="L67" s="37">
        <v>-2.5618822121491091E-2</v>
      </c>
      <c r="M67" s="37">
        <v>-2.2519603205433451E-2</v>
      </c>
      <c r="N67" s="37">
        <v>-4.3294555439649877E-2</v>
      </c>
    </row>
    <row r="68" spans="2:14" x14ac:dyDescent="0.2">
      <c r="B68" s="36">
        <v>43190</v>
      </c>
      <c r="C68" s="37">
        <v>-2.741049156840936E-2</v>
      </c>
      <c r="D68" s="37">
        <v>1.7616462002858709E-2</v>
      </c>
      <c r="E68" s="37">
        <v>9.4248154774752013E-3</v>
      </c>
      <c r="F68" s="37">
        <v>5.7705357614380171E-2</v>
      </c>
      <c r="G68" s="37">
        <v>-5.2305327904091939E-2</v>
      </c>
      <c r="H68" s="37">
        <v>4.6142810262146854E-3</v>
      </c>
      <c r="I68" s="37">
        <v>-2.741049156840936E-2</v>
      </c>
      <c r="J68" s="37">
        <v>1.7616462002858709E-2</v>
      </c>
      <c r="K68" s="37">
        <v>9.4248154774752013E-3</v>
      </c>
      <c r="L68" s="37">
        <v>8.8712963185124674E-4</v>
      </c>
      <c r="M68" s="37">
        <v>-1.0016065365560101E-3</v>
      </c>
      <c r="N68" s="37">
        <v>8.8916916656640588E-3</v>
      </c>
    </row>
    <row r="69" spans="2:14" x14ac:dyDescent="0.2">
      <c r="B69" s="36">
        <v>43220</v>
      </c>
      <c r="C69" s="37">
        <v>5.1683484428510784E-3</v>
      </c>
      <c r="D69" s="37">
        <v>-1.6051591628948089E-2</v>
      </c>
      <c r="E69" s="37">
        <v>-2.4703652104077212E-2</v>
      </c>
      <c r="F69" s="37">
        <v>5.3874701077200092E-4</v>
      </c>
      <c r="G69" s="37">
        <v>8.7367828451405168E-3</v>
      </c>
      <c r="H69" s="37">
        <v>-1.8049152061232259E-3</v>
      </c>
      <c r="I69" s="37">
        <v>5.1683484428510784E-3</v>
      </c>
      <c r="J69" s="37">
        <v>-1.6051591628948089E-2</v>
      </c>
      <c r="K69" s="37">
        <v>-2.4703652104077212E-2</v>
      </c>
      <c r="L69" s="37">
        <v>1.635403382610345E-2</v>
      </c>
      <c r="M69" s="37">
        <v>-2.2693918394796179E-2</v>
      </c>
      <c r="N69" s="37">
        <v>-6.1006215780819986E-3</v>
      </c>
    </row>
    <row r="70" spans="2:14" x14ac:dyDescent="0.2">
      <c r="B70" s="36">
        <v>43251</v>
      </c>
      <c r="C70" s="37">
        <v>2.4309203587559391E-2</v>
      </c>
      <c r="D70" s="37">
        <v>1.1956171826689619E-2</v>
      </c>
      <c r="E70" s="37">
        <v>5.0764149860533792E-3</v>
      </c>
      <c r="F70" s="37">
        <v>-1.8115941778598429E-2</v>
      </c>
      <c r="G70" s="37">
        <v>9.7516412772372996E-2</v>
      </c>
      <c r="H70" s="37">
        <v>-2.3196202701052381E-4</v>
      </c>
      <c r="I70" s="37">
        <v>2.4309203587559391E-2</v>
      </c>
      <c r="J70" s="37">
        <v>1.1956171826689619E-2</v>
      </c>
      <c r="K70" s="37">
        <v>5.0764149860533792E-3</v>
      </c>
      <c r="L70" s="37">
        <v>-4.8775144995889296E-3</v>
      </c>
      <c r="M70" s="37">
        <v>7.1714390387401128E-2</v>
      </c>
      <c r="N70" s="37">
        <v>6.519790173831419E-3</v>
      </c>
    </row>
    <row r="71" spans="2:14" x14ac:dyDescent="0.2">
      <c r="B71" s="36">
        <v>43281</v>
      </c>
      <c r="C71" s="37">
        <v>5.7507015941562489E-3</v>
      </c>
      <c r="D71" s="37">
        <v>2.7097323363745041E-3</v>
      </c>
      <c r="E71" s="37">
        <v>-1.1078317004988181E-2</v>
      </c>
      <c r="F71" s="37">
        <v>0.1114391297141335</v>
      </c>
      <c r="G71" s="37">
        <v>4.8332468466025028E-3</v>
      </c>
      <c r="H71" s="37">
        <v>2.761573932517597E-2</v>
      </c>
      <c r="I71" s="37">
        <v>5.7507015941562489E-3</v>
      </c>
      <c r="J71" s="37">
        <v>2.7097323363745041E-3</v>
      </c>
      <c r="K71" s="37">
        <v>-1.1078317004988181E-2</v>
      </c>
      <c r="L71" s="37">
        <v>-9.8309874482618957E-3</v>
      </c>
      <c r="M71" s="37">
        <v>-2.067771044262634E-2</v>
      </c>
      <c r="N71" s="37">
        <v>1.4483287016722191E-2</v>
      </c>
    </row>
    <row r="72" spans="2:14" x14ac:dyDescent="0.2">
      <c r="B72" s="36">
        <v>43312</v>
      </c>
      <c r="C72" s="37">
        <v>3.7046300538047923E-2</v>
      </c>
      <c r="D72" s="37">
        <v>-8.8544852027458987E-3</v>
      </c>
      <c r="E72" s="37">
        <v>2.1715824272450449E-2</v>
      </c>
      <c r="F72" s="37">
        <v>-5.1792872836145643E-2</v>
      </c>
      <c r="G72" s="37">
        <v>3.7889639763417048E-2</v>
      </c>
      <c r="H72" s="37">
        <v>4.340261803206711E-2</v>
      </c>
      <c r="I72" s="37">
        <v>3.7046300538047923E-2</v>
      </c>
      <c r="J72" s="37">
        <v>-8.8544852027458987E-3</v>
      </c>
      <c r="K72" s="37">
        <v>2.1715824272450449E-2</v>
      </c>
      <c r="L72" s="37">
        <v>-3.617585351923467E-2</v>
      </c>
      <c r="M72" s="37">
        <v>1.075266364970107E-2</v>
      </c>
      <c r="N72" s="37">
        <v>3.5426091156509847E-2</v>
      </c>
    </row>
    <row r="73" spans="2:14" x14ac:dyDescent="0.2">
      <c r="B73" s="36">
        <v>43343</v>
      </c>
      <c r="C73" s="37">
        <v>3.1919831545436317E-2</v>
      </c>
      <c r="D73" s="37">
        <v>1.18502284584916E-2</v>
      </c>
      <c r="E73" s="37">
        <v>-3.242051182272609E-3</v>
      </c>
      <c r="F73" s="37">
        <v>2.9612066751860618E-2</v>
      </c>
      <c r="G73" s="37">
        <v>6.9192937878040997E-2</v>
      </c>
      <c r="H73" s="37">
        <v>1.1009016928298899E-2</v>
      </c>
      <c r="I73" s="37">
        <v>3.1919831545436317E-2</v>
      </c>
      <c r="J73" s="37">
        <v>1.18502284584916E-2</v>
      </c>
      <c r="K73" s="37">
        <v>-3.242051182272609E-3</v>
      </c>
      <c r="L73" s="37">
        <v>-2.9942117683712709E-2</v>
      </c>
      <c r="M73" s="37">
        <v>9.2134100747362835E-2</v>
      </c>
      <c r="N73" s="37">
        <v>1.7695836476140151E-2</v>
      </c>
    </row>
    <row r="74" spans="2:14" x14ac:dyDescent="0.2">
      <c r="B74" s="36">
        <v>43373</v>
      </c>
      <c r="C74" s="37">
        <v>5.9456274936207087E-3</v>
      </c>
      <c r="D74" s="37">
        <v>-1.842177620970498E-2</v>
      </c>
      <c r="E74" s="37">
        <v>-2.7545749219117792E-3</v>
      </c>
      <c r="F74" s="37">
        <v>8.995729413434077E-4</v>
      </c>
      <c r="G74" s="37">
        <v>-3.5812620500548571E-2</v>
      </c>
      <c r="H74" s="37">
        <v>1.033345772661606E-2</v>
      </c>
      <c r="I74" s="37">
        <v>5.9456274936207087E-3</v>
      </c>
      <c r="J74" s="37">
        <v>-1.842177620970498E-2</v>
      </c>
      <c r="K74" s="37">
        <v>-2.7545749219117792E-3</v>
      </c>
      <c r="L74" s="37">
        <v>1.939220644879083E-2</v>
      </c>
      <c r="M74" s="37">
        <v>3.601280995896738E-3</v>
      </c>
      <c r="N74" s="37">
        <v>-3.5982886115170092E-3</v>
      </c>
    </row>
    <row r="75" spans="2:14" x14ac:dyDescent="0.2">
      <c r="B75" s="36">
        <v>43404</v>
      </c>
      <c r="C75" s="37">
        <v>-6.9104187879732826E-2</v>
      </c>
      <c r="D75" s="37">
        <v>-1.0824914196604699E-2</v>
      </c>
      <c r="E75" s="37">
        <v>-3.5838311741178352E-2</v>
      </c>
      <c r="F75" s="37">
        <v>-0.11196910083016361</v>
      </c>
      <c r="G75" s="37">
        <v>-0.18571161435082301</v>
      </c>
      <c r="H75" s="37">
        <v>-1.5788277165972531E-2</v>
      </c>
      <c r="I75" s="37">
        <v>-6.9104187879732826E-2</v>
      </c>
      <c r="J75" s="37">
        <v>-1.0824914196604699E-2</v>
      </c>
      <c r="K75" s="37">
        <v>-3.5838311741178352E-2</v>
      </c>
      <c r="L75" s="37">
        <v>-2.7041285771620571E-2</v>
      </c>
      <c r="M75" s="37">
        <v>-0.1623530690491656</v>
      </c>
      <c r="N75" s="37">
        <v>-2.9155294291250741E-2</v>
      </c>
    </row>
    <row r="76" spans="2:14" x14ac:dyDescent="0.2">
      <c r="B76" s="36">
        <v>43434</v>
      </c>
      <c r="C76" s="37">
        <v>1.8549135871467781E-2</v>
      </c>
      <c r="D76" s="37">
        <v>1.6579773634734171E-2</v>
      </c>
      <c r="E76" s="37">
        <v>-8.2195351696157104E-3</v>
      </c>
      <c r="F76" s="37">
        <v>1.8593948671203899E-3</v>
      </c>
      <c r="G76" s="37">
        <v>4.6550511769310077E-2</v>
      </c>
      <c r="H76" s="37">
        <v>5.7859418286147393E-2</v>
      </c>
      <c r="I76" s="37">
        <v>1.8549135871467781E-2</v>
      </c>
      <c r="J76" s="37">
        <v>1.6579773634734171E-2</v>
      </c>
      <c r="K76" s="37">
        <v>-8.2195351696157104E-3</v>
      </c>
      <c r="L76" s="37">
        <v>-3.7550520732633798E-2</v>
      </c>
      <c r="M76" s="37">
        <v>-3.3356775990524778E-2</v>
      </c>
      <c r="N76" s="37">
        <v>4.6840246689586078E-2</v>
      </c>
    </row>
    <row r="77" spans="2:14" x14ac:dyDescent="0.2">
      <c r="B77" s="36">
        <v>43465</v>
      </c>
      <c r="C77" s="37">
        <v>-8.8048271103903675E-2</v>
      </c>
      <c r="D77" s="37">
        <v>4.0926325304058597E-2</v>
      </c>
      <c r="E77" s="37">
        <v>2.827549380506E-2</v>
      </c>
      <c r="F77" s="37">
        <v>1.827747725658968E-3</v>
      </c>
      <c r="G77" s="37">
        <v>-0.1116724568699681</v>
      </c>
      <c r="H77" s="37">
        <v>-5.8572835278383133E-2</v>
      </c>
      <c r="I77" s="37">
        <v>-8.8048271103903675E-2</v>
      </c>
      <c r="J77" s="37">
        <v>4.0926325304058597E-2</v>
      </c>
      <c r="K77" s="37">
        <v>2.827549380506E-2</v>
      </c>
      <c r="L77" s="37">
        <v>-5.2450456081231554E-3</v>
      </c>
      <c r="M77" s="37">
        <v>-8.3065672137468294E-2</v>
      </c>
      <c r="N77" s="37">
        <v>-6.7955019405964157E-2</v>
      </c>
    </row>
    <row r="78" spans="2:14" x14ac:dyDescent="0.2">
      <c r="B78" s="36">
        <v>43496</v>
      </c>
      <c r="C78" s="37">
        <v>8.0065424046579015E-2</v>
      </c>
      <c r="D78" s="37">
        <v>4.4189455876157968E-3</v>
      </c>
      <c r="E78" s="37">
        <v>4.0267972187624901E-2</v>
      </c>
      <c r="F78" s="37">
        <v>1.749156498264792E-3</v>
      </c>
      <c r="G78" s="37">
        <v>2.0249965442515529E-2</v>
      </c>
      <c r="H78" s="37">
        <v>5.2763075493884093E-2</v>
      </c>
      <c r="I78" s="37">
        <v>8.0065424046579015E-2</v>
      </c>
      <c r="J78" s="37">
        <v>4.4189455876157968E-3</v>
      </c>
      <c r="K78" s="37">
        <v>4.0267972187624901E-2</v>
      </c>
      <c r="L78" s="37">
        <v>5.9140870165327743E-2</v>
      </c>
      <c r="M78" s="37">
        <v>0.1207692798240705</v>
      </c>
      <c r="N78" s="37">
        <v>6.6570766225971356E-2</v>
      </c>
    </row>
    <row r="79" spans="2:14" x14ac:dyDescent="0.2">
      <c r="B79" s="36">
        <v>43524</v>
      </c>
      <c r="C79" s="37">
        <v>3.2415828090229581E-2</v>
      </c>
      <c r="D79" s="37">
        <v>-8.010482607148206E-3</v>
      </c>
      <c r="E79" s="37">
        <v>-4.7916336780537971E-3</v>
      </c>
      <c r="F79" s="37">
        <v>1.8486106001529561E-3</v>
      </c>
      <c r="G79" s="37">
        <v>4.790169343263407E-2</v>
      </c>
      <c r="H79" s="37">
        <v>3.7770660506508888E-2</v>
      </c>
      <c r="I79" s="37">
        <v>3.2415828090229581E-2</v>
      </c>
      <c r="J79" s="37">
        <v>-8.010482607148206E-3</v>
      </c>
      <c r="K79" s="37">
        <v>-4.7916336780537971E-3</v>
      </c>
      <c r="L79" s="37">
        <v>1.007373112386691E-2</v>
      </c>
      <c r="M79" s="37">
        <v>3.5470344579563003E-2</v>
      </c>
      <c r="N79" s="37">
        <v>4.0216553659398142E-2</v>
      </c>
    </row>
    <row r="80" spans="2:14" x14ac:dyDescent="0.2">
      <c r="B80" s="36">
        <v>43555</v>
      </c>
      <c r="C80" s="37">
        <v>1.8100380580014171E-2</v>
      </c>
      <c r="D80" s="37">
        <v>3.8863472736948117E-2</v>
      </c>
      <c r="E80" s="37">
        <v>4.5149844909318608E-2</v>
      </c>
      <c r="F80" s="37">
        <v>1.7492816829194351E-3</v>
      </c>
      <c r="G80" s="37">
        <v>7.3712609890395603E-2</v>
      </c>
      <c r="H80" s="37">
        <v>2.0526340999080971E-2</v>
      </c>
      <c r="I80" s="37">
        <v>1.8100380580014171E-2</v>
      </c>
      <c r="J80" s="37">
        <v>3.8863472736948117E-2</v>
      </c>
      <c r="K80" s="37">
        <v>4.5149844909318608E-2</v>
      </c>
      <c r="L80" s="37">
        <v>-7.5328070665054976E-4</v>
      </c>
      <c r="M80" s="37">
        <v>7.069837392374767E-3</v>
      </c>
      <c r="N80" s="37">
        <v>2.2862751809012091E-2</v>
      </c>
    </row>
    <row r="81" spans="2:14" x14ac:dyDescent="0.2">
      <c r="B81" s="36">
        <v>43585</v>
      </c>
      <c r="C81" s="37">
        <v>4.0852959261385102E-2</v>
      </c>
      <c r="D81" s="37">
        <v>-1.1845535764454679E-2</v>
      </c>
      <c r="E81" s="37">
        <v>1.776531067628762E-3</v>
      </c>
      <c r="F81" s="37">
        <v>1.9253532569831751E-3</v>
      </c>
      <c r="G81" s="37">
        <v>-1.5175305868811139E-2</v>
      </c>
      <c r="H81" s="37">
        <v>2.0157012640615219E-2</v>
      </c>
      <c r="I81" s="37">
        <v>4.0852959261385102E-2</v>
      </c>
      <c r="J81" s="37">
        <v>-1.1845535764454679E-2</v>
      </c>
      <c r="K81" s="37">
        <v>1.776531067628762E-3</v>
      </c>
      <c r="L81" s="37">
        <v>2.5483907591155259E-3</v>
      </c>
      <c r="M81" s="37">
        <v>3.2626841397509709E-2</v>
      </c>
      <c r="N81" s="37">
        <v>2.3392124442165541E-2</v>
      </c>
    </row>
    <row r="82" spans="2:14" x14ac:dyDescent="0.2">
      <c r="B82" s="36">
        <v>43616</v>
      </c>
      <c r="C82" s="37">
        <v>-6.377152988299184E-2</v>
      </c>
      <c r="D82" s="37">
        <v>4.6282707136311878E-2</v>
      </c>
      <c r="E82" s="37">
        <v>2.3812844623224191E-2</v>
      </c>
      <c r="F82" s="37">
        <v>2.1218973325645152E-3</v>
      </c>
      <c r="G82" s="37">
        <v>-3.5493371389086897E-2</v>
      </c>
      <c r="H82" s="37">
        <v>-7.1903967903146349E-3</v>
      </c>
      <c r="I82" s="37">
        <v>-6.377152988299184E-2</v>
      </c>
      <c r="J82" s="37">
        <v>4.6282707136311878E-2</v>
      </c>
      <c r="K82" s="37">
        <v>2.3812844623224191E-2</v>
      </c>
      <c r="L82" s="37">
        <v>-4.6558446508981818E-2</v>
      </c>
      <c r="M82" s="37">
        <v>-2.657078414966263E-2</v>
      </c>
      <c r="N82" s="37">
        <v>-9.6890444699576639E-3</v>
      </c>
    </row>
    <row r="83" spans="2:14" x14ac:dyDescent="0.2">
      <c r="B83" s="36">
        <v>43646</v>
      </c>
      <c r="C83" s="37">
        <v>6.9586719694379573E-2</v>
      </c>
      <c r="D83" s="37">
        <v>1.1920981227229619E-2</v>
      </c>
      <c r="E83" s="37">
        <v>4.304838790935972E-2</v>
      </c>
      <c r="F83" s="37">
        <v>1.815654084004414E-3</v>
      </c>
      <c r="G83" s="37">
        <v>6.5502842561638019E-2</v>
      </c>
      <c r="H83" s="37">
        <v>4.0666550917579411E-2</v>
      </c>
      <c r="I83" s="37">
        <v>6.9586719694379573E-2</v>
      </c>
      <c r="J83" s="37">
        <v>1.1920981227229619E-2</v>
      </c>
      <c r="K83" s="37">
        <v>4.304838790935972E-2</v>
      </c>
      <c r="L83" s="37">
        <v>4.8254628690355107E-2</v>
      </c>
      <c r="M83" s="37">
        <v>5.8134747973406009E-2</v>
      </c>
      <c r="N83" s="37">
        <v>3.704021809321123E-2</v>
      </c>
    </row>
    <row r="84" spans="2:14" x14ac:dyDescent="0.2">
      <c r="B84" s="36">
        <v>43677</v>
      </c>
      <c r="C84" s="37">
        <v>1.511904014824883E-2</v>
      </c>
      <c r="D84" s="37">
        <v>3.0595663477239739E-3</v>
      </c>
      <c r="E84" s="37">
        <v>8.6062458420237409E-3</v>
      </c>
      <c r="F84" s="37">
        <v>1.3043972477244101E-3</v>
      </c>
      <c r="G84" s="37">
        <v>3.967891443392222E-2</v>
      </c>
      <c r="H84" s="37">
        <v>1.7302228499076169E-2</v>
      </c>
      <c r="I84" s="37">
        <v>1.511904014824883E-2</v>
      </c>
      <c r="J84" s="37">
        <v>3.0595663477239739E-3</v>
      </c>
      <c r="K84" s="37">
        <v>8.6062458420237409E-3</v>
      </c>
      <c r="L84" s="37">
        <v>1.6268563695785109E-3</v>
      </c>
      <c r="M84" s="37">
        <v>5.548303716494063E-2</v>
      </c>
      <c r="N84" s="37">
        <v>1.1286636708025989E-2</v>
      </c>
    </row>
    <row r="85" spans="2:14" x14ac:dyDescent="0.2">
      <c r="B85" s="36">
        <v>43708</v>
      </c>
      <c r="C85" s="37">
        <v>-1.674346065460619E-2</v>
      </c>
      <c r="D85" s="37">
        <v>6.6507669523943491E-2</v>
      </c>
      <c r="E85" s="37">
        <v>5.6970478653639578E-2</v>
      </c>
      <c r="F85" s="37">
        <v>7.8623134561298602E-2</v>
      </c>
      <c r="G85" s="37">
        <v>-3.0326964910098161E-2</v>
      </c>
      <c r="H85" s="37">
        <v>2.4774500961386309E-2</v>
      </c>
      <c r="I85" s="37">
        <v>-1.674346065460619E-2</v>
      </c>
      <c r="J85" s="37">
        <v>6.6507669523943491E-2</v>
      </c>
      <c r="K85" s="37">
        <v>5.6970478653639578E-2</v>
      </c>
      <c r="L85" s="37">
        <v>1.1271190960449351E-2</v>
      </c>
      <c r="M85" s="37">
        <v>-1.054349861862092E-2</v>
      </c>
      <c r="N85" s="37">
        <v>2.3485372099369961E-2</v>
      </c>
    </row>
    <row r="86" spans="2:14" x14ac:dyDescent="0.2">
      <c r="B86" s="36">
        <v>43738</v>
      </c>
      <c r="C86" s="37">
        <v>1.945807843284109E-2</v>
      </c>
      <c r="D86" s="37">
        <v>-1.803248853927086E-2</v>
      </c>
      <c r="E86" s="37">
        <v>-1.0769005402991531E-2</v>
      </c>
      <c r="F86" s="37">
        <v>1.11853126351863E-3</v>
      </c>
      <c r="G86" s="37">
        <v>-4.4496762195947052E-2</v>
      </c>
      <c r="H86" s="37">
        <v>7.0586706974023593E-3</v>
      </c>
      <c r="I86" s="37">
        <v>1.945807843284109E-2</v>
      </c>
      <c r="J86" s="37">
        <v>-1.803248853927086E-2</v>
      </c>
      <c r="K86" s="37">
        <v>-1.0769005402991531E-2</v>
      </c>
      <c r="L86" s="37">
        <v>-9.8538307212008517E-3</v>
      </c>
      <c r="M86" s="37">
        <v>-8.3292652684239354E-2</v>
      </c>
      <c r="N86" s="37">
        <v>2.2257116465490109E-2</v>
      </c>
    </row>
    <row r="87" spans="2:14" x14ac:dyDescent="0.2">
      <c r="B87" s="36">
        <v>43769</v>
      </c>
      <c r="C87" s="37">
        <v>2.2104797151717651E-2</v>
      </c>
      <c r="D87" s="37">
        <v>-4.8913868377099554E-3</v>
      </c>
      <c r="E87" s="37">
        <v>2.8264090095111438E-3</v>
      </c>
      <c r="F87" s="37">
        <v>4.3724769898870253E-2</v>
      </c>
      <c r="G87" s="37">
        <v>-4.1366412603562677E-3</v>
      </c>
      <c r="H87" s="37">
        <v>-4.9861216616868369E-2</v>
      </c>
      <c r="I87" s="37">
        <v>2.2104797151717651E-2</v>
      </c>
      <c r="J87" s="37">
        <v>-4.8913868377099554E-3</v>
      </c>
      <c r="K87" s="37">
        <v>2.8264090095111438E-3</v>
      </c>
      <c r="L87" s="37">
        <v>2.3076977531295541E-2</v>
      </c>
      <c r="M87" s="37">
        <v>1.305620035221078E-2</v>
      </c>
      <c r="N87" s="37">
        <v>-3.898266214878654E-3</v>
      </c>
    </row>
    <row r="88" spans="2:14" x14ac:dyDescent="0.2">
      <c r="B88" s="36">
        <v>43799</v>
      </c>
      <c r="C88" s="37">
        <v>3.6198153983213237E-2</v>
      </c>
      <c r="D88" s="37">
        <v>-7.6304188429658906E-3</v>
      </c>
      <c r="E88" s="37">
        <v>1.021092906213728E-2</v>
      </c>
      <c r="F88" s="37">
        <v>-5.9601654579840513E-2</v>
      </c>
      <c r="G88" s="37">
        <v>1.486666362058813E-2</v>
      </c>
      <c r="H88" s="37">
        <v>-8.1825053584163709E-3</v>
      </c>
      <c r="I88" s="37">
        <v>3.6198153983213237E-2</v>
      </c>
      <c r="J88" s="37">
        <v>-7.6304188429658906E-3</v>
      </c>
      <c r="K88" s="37">
        <v>1.021092906213728E-2</v>
      </c>
      <c r="L88" s="37">
        <v>-8.6088344265934143E-3</v>
      </c>
      <c r="M88" s="37">
        <v>7.6538581960074126E-2</v>
      </c>
      <c r="N88" s="37">
        <v>-4.717947539645273E-5</v>
      </c>
    </row>
    <row r="89" spans="2:14" x14ac:dyDescent="0.2">
      <c r="B89" s="36">
        <v>43830</v>
      </c>
      <c r="C89" s="37">
        <v>2.905559987707251E-2</v>
      </c>
      <c r="D89" s="37">
        <v>-1.989049552573707E-2</v>
      </c>
      <c r="E89" s="37">
        <v>1.812157971275097E-3</v>
      </c>
      <c r="F89" s="37">
        <v>4.1648743274698093E-2</v>
      </c>
      <c r="G89" s="37">
        <v>1.078814501702522E-2</v>
      </c>
      <c r="H89" s="37">
        <v>1.023562707214009E-2</v>
      </c>
      <c r="I89" s="37">
        <v>2.905559987707251E-2</v>
      </c>
      <c r="J89" s="37">
        <v>-1.989049552573707E-2</v>
      </c>
      <c r="K89" s="37">
        <v>1.812157971275097E-3</v>
      </c>
      <c r="L89" s="37">
        <v>5.6330518309584132E-2</v>
      </c>
      <c r="M89" s="37">
        <v>-1.0811043077117111E-2</v>
      </c>
      <c r="N89" s="37">
        <v>1.7253949916470779E-2</v>
      </c>
    </row>
    <row r="90" spans="2:14" x14ac:dyDescent="0.2">
      <c r="B90" s="36">
        <v>43861</v>
      </c>
      <c r="C90" s="37">
        <v>-4.038059280832007E-4</v>
      </c>
      <c r="D90" s="37">
        <v>5.7447693443090753E-2</v>
      </c>
      <c r="E90" s="37">
        <v>3.8378064924393218E-2</v>
      </c>
      <c r="F90" s="37">
        <v>1.203414174262063E-3</v>
      </c>
      <c r="G90" s="37">
        <v>-1.149100633560942E-2</v>
      </c>
      <c r="H90" s="37">
        <v>4.9589964867335273E-2</v>
      </c>
      <c r="I90" s="37">
        <v>-4.038059280832007E-4</v>
      </c>
      <c r="J90" s="37">
        <v>5.7447693443090753E-2</v>
      </c>
      <c r="K90" s="37">
        <v>3.8378064924393218E-2</v>
      </c>
      <c r="L90" s="37">
        <v>-5.1138020704294559E-2</v>
      </c>
      <c r="M90" s="37">
        <v>6.0574354631736098E-2</v>
      </c>
      <c r="N90" s="37">
        <v>2.9921976029982259E-2</v>
      </c>
    </row>
    <row r="91" spans="2:14" x14ac:dyDescent="0.2">
      <c r="B91" s="36">
        <v>43890</v>
      </c>
      <c r="C91" s="37">
        <v>-7.9166071344764277E-2</v>
      </c>
      <c r="D91" s="37">
        <v>4.793823377659101E-2</v>
      </c>
      <c r="E91" s="37">
        <v>1.35617145566671E-2</v>
      </c>
      <c r="F91" s="37">
        <v>1.1811047202263669E-3</v>
      </c>
      <c r="G91" s="37">
        <v>-6.9151855718110222E-2</v>
      </c>
      <c r="H91" s="37">
        <v>-7.7904173661034332E-2</v>
      </c>
      <c r="I91" s="37">
        <v>-7.9166071344764277E-2</v>
      </c>
      <c r="J91" s="37">
        <v>4.793823377659101E-2</v>
      </c>
      <c r="K91" s="37">
        <v>1.35617145566671E-2</v>
      </c>
      <c r="L91" s="37">
        <v>-4.6101377298146742E-2</v>
      </c>
      <c r="M91" s="37">
        <v>-6.3227867933615123E-2</v>
      </c>
      <c r="N91" s="37">
        <v>-9.5147271930538957E-2</v>
      </c>
    </row>
    <row r="92" spans="2:14" x14ac:dyDescent="0.2">
      <c r="B92" s="36">
        <v>43921</v>
      </c>
      <c r="C92" s="37">
        <v>-0.1248709866289429</v>
      </c>
      <c r="D92" s="37">
        <v>5.6450029077804498E-2</v>
      </c>
      <c r="E92" s="37">
        <v>-8.423216516361165E-2</v>
      </c>
      <c r="F92" s="37">
        <v>2.04485296082435E-3</v>
      </c>
      <c r="G92" s="37">
        <v>-0.18508101929753459</v>
      </c>
      <c r="H92" s="37">
        <v>-0.1083757677675046</v>
      </c>
      <c r="I92" s="37">
        <v>-0.1248709866289429</v>
      </c>
      <c r="J92" s="37">
        <v>5.6450029077804498E-2</v>
      </c>
      <c r="K92" s="37">
        <v>-8.423216516361165E-2</v>
      </c>
      <c r="L92" s="37">
        <v>-0.18419868334511219</v>
      </c>
      <c r="M92" s="37">
        <v>-0.19159796594139919</v>
      </c>
      <c r="N92" s="37">
        <v>-0.1312292585618838</v>
      </c>
    </row>
    <row r="93" spans="2:14" x14ac:dyDescent="0.2">
      <c r="B93" s="36">
        <v>43951</v>
      </c>
      <c r="C93" s="37">
        <v>0.12698330606355079</v>
      </c>
      <c r="D93" s="37">
        <v>4.6121993897778601E-3</v>
      </c>
      <c r="E93" s="37">
        <v>5.5927193863126501E-2</v>
      </c>
      <c r="F93" s="37">
        <v>-1.9651582907642681E-4</v>
      </c>
      <c r="G93" s="37">
        <v>0.13251462324722579</v>
      </c>
      <c r="H93" s="37">
        <v>6.7443694468005855E-2</v>
      </c>
      <c r="I93" s="37">
        <v>0.12698330606355079</v>
      </c>
      <c r="J93" s="37">
        <v>4.6121993897778601E-3</v>
      </c>
      <c r="K93" s="37">
        <v>5.5927193863126501E-2</v>
      </c>
      <c r="L93" s="37">
        <v>-4.73586636807483E-2</v>
      </c>
      <c r="M93" s="37">
        <v>0.1843523718657922</v>
      </c>
      <c r="N93" s="37">
        <v>6.6805959866669928E-2</v>
      </c>
    </row>
    <row r="94" spans="2:14" x14ac:dyDescent="0.2">
      <c r="B94" s="36">
        <v>43982</v>
      </c>
      <c r="C94" s="37">
        <v>4.7645609141371732E-2</v>
      </c>
      <c r="D94" s="37">
        <v>-4.3169353195173787E-3</v>
      </c>
      <c r="E94" s="37">
        <v>2.044241372580391E-2</v>
      </c>
      <c r="F94" s="37">
        <v>-6.7446073916815853E-4</v>
      </c>
      <c r="G94" s="37">
        <v>6.2301601905229861E-2</v>
      </c>
      <c r="H94" s="37">
        <v>1.9433737871350842E-2</v>
      </c>
      <c r="I94" s="37">
        <v>4.7645609141371732E-2</v>
      </c>
      <c r="J94" s="37">
        <v>-4.3169353195173787E-3</v>
      </c>
      <c r="K94" s="37">
        <v>2.044241372580391E-2</v>
      </c>
      <c r="L94" s="37">
        <v>0.1212814454800603</v>
      </c>
      <c r="M94" s="37">
        <v>0.1234070492849018</v>
      </c>
      <c r="N94" s="37">
        <v>3.2741960244309092E-3</v>
      </c>
    </row>
    <row r="95" spans="2:14" x14ac:dyDescent="0.2">
      <c r="B95" s="36">
        <v>44012</v>
      </c>
      <c r="C95" s="37">
        <v>1.7734169345923201E-2</v>
      </c>
      <c r="D95" s="37">
        <v>1.7954511853461861E-3</v>
      </c>
      <c r="E95" s="37">
        <v>2.525212961961576E-2</v>
      </c>
      <c r="F95" s="37">
        <v>2.7377026301764529E-2</v>
      </c>
      <c r="G95" s="37">
        <v>1.7682457898146051E-3</v>
      </c>
      <c r="H95" s="37">
        <v>-6.4020751374884721E-3</v>
      </c>
      <c r="I95" s="37">
        <v>1.7734169345923201E-2</v>
      </c>
      <c r="J95" s="37">
        <v>1.7954511853461861E-3</v>
      </c>
      <c r="K95" s="37">
        <v>2.525212961961576E-2</v>
      </c>
      <c r="L95" s="37">
        <v>4.4443971504195059E-2</v>
      </c>
      <c r="M95" s="37">
        <v>2.9632991447957609E-2</v>
      </c>
      <c r="N95" s="37">
        <v>-3.8545380862528011E-3</v>
      </c>
    </row>
    <row r="96" spans="2:14" x14ac:dyDescent="0.2">
      <c r="B96" s="36">
        <v>44043</v>
      </c>
      <c r="C96" s="37">
        <v>5.8892156227428723E-2</v>
      </c>
      <c r="D96" s="37">
        <v>2.7996033019149321E-2</v>
      </c>
      <c r="E96" s="37">
        <v>5.7179080709628398E-2</v>
      </c>
      <c r="F96" s="37">
        <v>0.107904630970137</v>
      </c>
      <c r="G96" s="37">
        <v>0.1159962488310661</v>
      </c>
      <c r="H96" s="37">
        <v>7.526137484995564E-2</v>
      </c>
      <c r="I96" s="37">
        <v>5.8892156227428723E-2</v>
      </c>
      <c r="J96" s="37">
        <v>2.7996033019149321E-2</v>
      </c>
      <c r="K96" s="37">
        <v>5.7179080709628398E-2</v>
      </c>
      <c r="L96" s="37">
        <v>0.1153227744850524</v>
      </c>
      <c r="M96" s="37">
        <v>0.128527377436606</v>
      </c>
      <c r="N96" s="37">
        <v>7.4411760011046324E-2</v>
      </c>
    </row>
    <row r="97" spans="2:14" x14ac:dyDescent="0.2">
      <c r="B97" s="36">
        <v>44074</v>
      </c>
      <c r="C97" s="37">
        <v>6.9796880902250003E-2</v>
      </c>
      <c r="D97" s="37">
        <v>-3.6557706568573822E-2</v>
      </c>
      <c r="E97" s="37">
        <v>-3.8375546140439809E-2</v>
      </c>
      <c r="F97" s="37">
        <v>-3.7356731296194759E-3</v>
      </c>
      <c r="G97" s="37">
        <v>2.6638068161024171E-2</v>
      </c>
      <c r="H97" s="37">
        <v>3.8862568802162392E-2</v>
      </c>
      <c r="I97" s="37">
        <v>6.9796880902250003E-2</v>
      </c>
      <c r="J97" s="37">
        <v>-3.6557706568573822E-2</v>
      </c>
      <c r="K97" s="37">
        <v>-3.8375546140439809E-2</v>
      </c>
      <c r="L97" s="37">
        <v>6.0504979873614813E-2</v>
      </c>
      <c r="M97" s="37">
        <v>3.9274672255549932E-2</v>
      </c>
      <c r="N97" s="37">
        <v>2.8445711945721541E-2</v>
      </c>
    </row>
    <row r="98" spans="2:14" x14ac:dyDescent="0.2">
      <c r="B98" s="36">
        <v>44104</v>
      </c>
      <c r="C98" s="37">
        <v>-3.744355708052749E-2</v>
      </c>
      <c r="D98" s="37">
        <v>7.6264619213377571E-3</v>
      </c>
      <c r="E98" s="37">
        <v>-3.180456184151859E-3</v>
      </c>
      <c r="F98" s="37">
        <v>-0.1086855939221112</v>
      </c>
      <c r="G98" s="37">
        <v>-4.9193592073783397E-2</v>
      </c>
      <c r="H98" s="37">
        <v>-1.5234671480658881E-2</v>
      </c>
      <c r="I98" s="37">
        <v>-3.744355708052749E-2</v>
      </c>
      <c r="J98" s="37">
        <v>7.6264619213377571E-3</v>
      </c>
      <c r="K98" s="37">
        <v>-3.180456184151859E-3</v>
      </c>
      <c r="L98" s="37">
        <v>-6.1060605468701248E-2</v>
      </c>
      <c r="M98" s="37">
        <v>5.8952538840759683E-3</v>
      </c>
      <c r="N98" s="37">
        <v>-1.765418012393238E-2</v>
      </c>
    </row>
    <row r="99" spans="2:14" x14ac:dyDescent="0.2">
      <c r="B99" s="36">
        <v>44135</v>
      </c>
      <c r="C99" s="37">
        <v>-2.4933699760345429E-2</v>
      </c>
      <c r="D99" s="37">
        <v>-2.808292258305178E-2</v>
      </c>
      <c r="E99" s="37">
        <v>-8.7138377375005627E-3</v>
      </c>
      <c r="F99" s="37">
        <v>7.5814102213161609E-3</v>
      </c>
      <c r="G99" s="37">
        <v>-3.681289059682985E-2</v>
      </c>
      <c r="H99" s="37">
        <v>-1.591067815413634E-2</v>
      </c>
      <c r="I99" s="37">
        <v>-2.4933699760345429E-2</v>
      </c>
      <c r="J99" s="37">
        <v>-2.808292258305178E-2</v>
      </c>
      <c r="K99" s="37">
        <v>-8.7138377375005627E-3</v>
      </c>
      <c r="L99" s="37">
        <v>-1.9520878353933461E-2</v>
      </c>
      <c r="M99" s="37">
        <v>-4.2071821972727963E-2</v>
      </c>
      <c r="N99" s="37">
        <v>-2.8751702494897891E-2</v>
      </c>
    </row>
    <row r="100" spans="2:14" x14ac:dyDescent="0.2">
      <c r="B100" s="36">
        <v>44165</v>
      </c>
      <c r="C100" s="37">
        <v>0.1087768227415689</v>
      </c>
      <c r="D100" s="37">
        <v>1.058735297374125E-2</v>
      </c>
      <c r="E100" s="37">
        <v>6.1076219192912617E-2</v>
      </c>
      <c r="F100" s="37">
        <v>9.5151465150607288E-3</v>
      </c>
      <c r="G100" s="37">
        <v>0.13826422975411029</v>
      </c>
      <c r="H100" s="37">
        <v>6.1985878661978397E-2</v>
      </c>
      <c r="I100" s="37">
        <v>0.1087768227415689</v>
      </c>
      <c r="J100" s="37">
        <v>1.058735297374125E-2</v>
      </c>
      <c r="K100" s="37">
        <v>6.1076219192912617E-2</v>
      </c>
      <c r="L100" s="37">
        <v>6.5299175931170628E-2</v>
      </c>
      <c r="M100" s="37">
        <v>0.18224329858928431</v>
      </c>
      <c r="N100" s="37">
        <v>6.1957015644965592E-2</v>
      </c>
    </row>
    <row r="101" spans="2:14" x14ac:dyDescent="0.2">
      <c r="B101" s="36">
        <v>44196</v>
      </c>
      <c r="C101" s="37">
        <v>3.704855050082756E-2</v>
      </c>
      <c r="D101" s="37">
        <v>-1.0565897930782331E-2</v>
      </c>
      <c r="E101" s="37">
        <v>-1.8911947818287529E-3</v>
      </c>
      <c r="F101" s="37">
        <v>1.8752912328223511E-2</v>
      </c>
      <c r="G101" s="37">
        <v>4.0463752273300221E-2</v>
      </c>
      <c r="H101" s="37">
        <v>9.9044109971145097E-3</v>
      </c>
      <c r="I101" s="37">
        <v>3.704855050082756E-2</v>
      </c>
      <c r="J101" s="37">
        <v>-1.0565897930782331E-2</v>
      </c>
      <c r="K101" s="37">
        <v>-1.8911947818287529E-3</v>
      </c>
      <c r="L101" s="37">
        <v>7.1851527802965748E-2</v>
      </c>
      <c r="M101" s="37">
        <v>0.10153977238147389</v>
      </c>
      <c r="N101" s="37">
        <v>2.0391601775231472E-2</v>
      </c>
    </row>
    <row r="102" spans="2:14" x14ac:dyDescent="0.2">
      <c r="B102" s="36">
        <v>44227</v>
      </c>
      <c r="C102" s="37">
        <v>-1.019053879597176E-2</v>
      </c>
      <c r="D102" s="37">
        <v>-2.9707195336240669E-2</v>
      </c>
      <c r="E102" s="37">
        <v>-2.8090631352736931E-2</v>
      </c>
      <c r="F102" s="37">
        <v>7.7834932796900236E-3</v>
      </c>
      <c r="G102" s="37">
        <v>4.0752956498217308E-3</v>
      </c>
      <c r="H102" s="37">
        <v>-3.4467677875853052E-2</v>
      </c>
      <c r="I102" s="37">
        <v>-1.019053879597176E-2</v>
      </c>
      <c r="J102" s="37">
        <v>-2.9707195336240669E-2</v>
      </c>
      <c r="K102" s="37">
        <v>-2.8090631352736931E-2</v>
      </c>
      <c r="L102" s="37">
        <v>1.4873309782228091E-2</v>
      </c>
      <c r="M102" s="37">
        <v>0.1039816522780523</v>
      </c>
      <c r="N102" s="37">
        <v>-1.8215981411338289E-2</v>
      </c>
    </row>
    <row r="103" spans="2:14" x14ac:dyDescent="0.2">
      <c r="B103" s="36">
        <v>44255</v>
      </c>
      <c r="C103" s="37">
        <v>2.7805614959964139E-2</v>
      </c>
      <c r="D103" s="37">
        <v>-5.2573835659871393E-2</v>
      </c>
      <c r="E103" s="37">
        <v>-3.3546423952419802E-2</v>
      </c>
      <c r="F103" s="37">
        <v>6.6195182323645574E-2</v>
      </c>
      <c r="G103" s="37">
        <v>4.7690500642059992E-2</v>
      </c>
      <c r="H103" s="37">
        <v>-1.437767949383529E-3</v>
      </c>
      <c r="I103" s="37">
        <v>2.7805614959964139E-2</v>
      </c>
      <c r="J103" s="37">
        <v>-5.2573835659871393E-2</v>
      </c>
      <c r="K103" s="37">
        <v>-3.3546423952419802E-2</v>
      </c>
      <c r="L103" s="37">
        <v>5.9917972769199773E-2</v>
      </c>
      <c r="M103" s="37">
        <v>-1.8681920756808409E-2</v>
      </c>
      <c r="N103" s="37">
        <v>-1.164907938684012E-2</v>
      </c>
    </row>
    <row r="104" spans="2:14" x14ac:dyDescent="0.2">
      <c r="B104" s="36">
        <v>44286</v>
      </c>
      <c r="C104" s="37">
        <v>4.5398996924654662E-2</v>
      </c>
      <c r="D104" s="37">
        <v>-4.0500122504774083E-2</v>
      </c>
      <c r="E104" s="37">
        <v>-2.46786125854952E-2</v>
      </c>
      <c r="F104" s="37">
        <v>-4.9802195804231897E-2</v>
      </c>
      <c r="G104" s="37">
        <v>-8.7687151487147712E-3</v>
      </c>
      <c r="H104" s="37">
        <v>7.2486257361354542E-2</v>
      </c>
      <c r="I104" s="37">
        <v>4.5398996924654662E-2</v>
      </c>
      <c r="J104" s="37">
        <v>-4.0500122504774083E-2</v>
      </c>
      <c r="K104" s="37">
        <v>-2.46786125854952E-2</v>
      </c>
      <c r="L104" s="37">
        <v>-2.994566202589535E-2</v>
      </c>
      <c r="M104" s="37">
        <v>-7.8970543018678452E-2</v>
      </c>
      <c r="N104" s="37">
        <v>7.0307850116597681E-2</v>
      </c>
    </row>
    <row r="105" spans="2:14" x14ac:dyDescent="0.2">
      <c r="B105" s="36">
        <v>44316</v>
      </c>
      <c r="C105" s="37">
        <v>5.2910580330707953E-2</v>
      </c>
      <c r="D105" s="37">
        <v>1.9199312781928549E-2</v>
      </c>
      <c r="E105" s="37">
        <v>1.6430196819537949E-2</v>
      </c>
      <c r="F105" s="37">
        <v>9.9660643415977301E-2</v>
      </c>
      <c r="G105" s="37">
        <v>3.603709344118107E-2</v>
      </c>
      <c r="H105" s="37">
        <v>1.312360519938003E-2</v>
      </c>
      <c r="I105" s="37">
        <v>5.2910580330707953E-2</v>
      </c>
      <c r="J105" s="37">
        <v>1.9199312781928549E-2</v>
      </c>
      <c r="K105" s="37">
        <v>1.6430196819537949E-2</v>
      </c>
      <c r="L105" s="37">
        <v>7.2253737517857755E-2</v>
      </c>
      <c r="M105" s="37">
        <v>2.2583779256589279E-2</v>
      </c>
      <c r="N105" s="37">
        <v>4.077731714866073E-2</v>
      </c>
    </row>
    <row r="106" spans="2:14" x14ac:dyDescent="0.2">
      <c r="B106" s="36">
        <v>44347</v>
      </c>
      <c r="C106" s="37">
        <v>6.5660554980135899E-3</v>
      </c>
      <c r="D106" s="37">
        <v>5.8280983414782384E-4</v>
      </c>
      <c r="E106" s="37">
        <v>7.0922332788654341E-3</v>
      </c>
      <c r="F106" s="37">
        <v>5.1101472614979812E-2</v>
      </c>
      <c r="G106" s="37">
        <v>3.8944380162711532E-2</v>
      </c>
      <c r="H106" s="37">
        <v>3.071902812597924E-2</v>
      </c>
      <c r="I106" s="37">
        <v>6.5660554980135899E-3</v>
      </c>
      <c r="J106" s="37">
        <v>5.8280983414782384E-4</v>
      </c>
      <c r="K106" s="37">
        <v>7.0922332788654341E-3</v>
      </c>
      <c r="L106" s="37">
        <v>5.3456632044229117E-2</v>
      </c>
      <c r="M106" s="37">
        <v>-6.0265777534924007E-2</v>
      </c>
      <c r="N106" s="37">
        <v>1.124700939405221E-2</v>
      </c>
    </row>
    <row r="107" spans="2:14" x14ac:dyDescent="0.2">
      <c r="B107" s="36">
        <v>44377</v>
      </c>
      <c r="C107" s="37">
        <v>2.242737354966251E-2</v>
      </c>
      <c r="D107" s="37">
        <v>3.1843863876650058E-2</v>
      </c>
      <c r="E107" s="37">
        <v>4.0141030544076362E-2</v>
      </c>
      <c r="F107" s="37">
        <v>2.9272658626985468E-3</v>
      </c>
      <c r="G107" s="37">
        <v>-5.2452917331995558E-2</v>
      </c>
      <c r="H107" s="37">
        <v>-7.9998637184388044E-3</v>
      </c>
      <c r="I107" s="37">
        <v>2.242737354966251E-2</v>
      </c>
      <c r="J107" s="37">
        <v>3.1843863876650058E-2</v>
      </c>
      <c r="K107" s="37">
        <v>4.0141030544076362E-2</v>
      </c>
      <c r="L107" s="37">
        <v>-2.5361940199647898E-2</v>
      </c>
      <c r="M107" s="37">
        <v>2.2864006150986379E-2</v>
      </c>
      <c r="N107" s="37">
        <v>-7.6333894288738158E-4</v>
      </c>
    </row>
    <row r="108" spans="2:14" x14ac:dyDescent="0.2">
      <c r="B108" s="36">
        <v>44408</v>
      </c>
      <c r="C108" s="37">
        <v>2.441235367004535E-2</v>
      </c>
      <c r="D108" s="37">
        <v>3.3312438860218403E-2</v>
      </c>
      <c r="E108" s="37">
        <v>2.1974929515992558E-2</v>
      </c>
      <c r="F108" s="37">
        <v>8.7985073587883433E-3</v>
      </c>
      <c r="G108" s="37">
        <v>-2.831862481293939E-2</v>
      </c>
      <c r="H108" s="37">
        <v>3.6789577026203717E-2</v>
      </c>
      <c r="I108" s="37">
        <v>2.441235367004535E-2</v>
      </c>
      <c r="J108" s="37">
        <v>3.3312438860218403E-2</v>
      </c>
      <c r="K108" s="37">
        <v>2.1974929515992558E-2</v>
      </c>
      <c r="L108" s="37">
        <v>1.2298278588695789E-2</v>
      </c>
      <c r="M108" s="37">
        <v>-5.0040937167023743E-2</v>
      </c>
      <c r="N108" s="37">
        <v>3.6686225159600072E-2</v>
      </c>
    </row>
    <row r="109" spans="2:14" x14ac:dyDescent="0.2">
      <c r="B109" s="36">
        <v>44439</v>
      </c>
      <c r="C109" s="37">
        <v>2.9760169104579019E-2</v>
      </c>
      <c r="D109" s="37">
        <v>-2.1390147171401752E-3</v>
      </c>
      <c r="E109" s="37">
        <v>-4.1663769366806491E-3</v>
      </c>
      <c r="F109" s="37">
        <v>-1.760527717002117E-2</v>
      </c>
      <c r="G109" s="37">
        <v>1.7026504214197859E-2</v>
      </c>
      <c r="H109" s="37">
        <v>1.0697645027345531E-2</v>
      </c>
      <c r="I109" s="37">
        <v>2.9760169104579019E-2</v>
      </c>
      <c r="J109" s="37">
        <v>-2.1390147171401752E-3</v>
      </c>
      <c r="K109" s="37">
        <v>-4.1663769366806491E-3</v>
      </c>
      <c r="L109" s="37">
        <v>-2.2927361442999381E-2</v>
      </c>
      <c r="M109" s="37">
        <v>4.0481248123830797E-2</v>
      </c>
      <c r="N109" s="37">
        <v>1.7865498308319069E-2</v>
      </c>
    </row>
    <row r="110" spans="2:14" x14ac:dyDescent="0.2">
      <c r="B110" s="36">
        <v>44469</v>
      </c>
      <c r="C110" s="37">
        <v>-4.6605549352617959E-2</v>
      </c>
      <c r="D110" s="37">
        <v>-2.5561772474355541E-2</v>
      </c>
      <c r="E110" s="37">
        <v>-2.247042287993151E-2</v>
      </c>
      <c r="F110" s="37">
        <v>9.4088267519219171E-2</v>
      </c>
      <c r="G110" s="37">
        <v>-1.9374212656560068E-2</v>
      </c>
      <c r="H110" s="37">
        <v>-2.8996371204826309E-2</v>
      </c>
      <c r="I110" s="37">
        <v>-4.6605549352617959E-2</v>
      </c>
      <c r="J110" s="37">
        <v>-2.5561772474355541E-2</v>
      </c>
      <c r="K110" s="37">
        <v>-2.247042287993151E-2</v>
      </c>
      <c r="L110" s="37">
        <v>-1.4727588104344311E-2</v>
      </c>
      <c r="M110" s="37">
        <v>-2.9273254090876999E-2</v>
      </c>
      <c r="N110" s="37">
        <v>-5.085820883904324E-2</v>
      </c>
    </row>
    <row r="111" spans="2:14" x14ac:dyDescent="0.2">
      <c r="B111" s="36">
        <v>44500</v>
      </c>
      <c r="C111" s="37">
        <v>7.0163540384980072E-2</v>
      </c>
      <c r="D111" s="37">
        <v>6.461277700769319E-3</v>
      </c>
      <c r="E111" s="37">
        <v>1.734959105173162E-2</v>
      </c>
      <c r="F111" s="37">
        <v>8.7328767744674352E-2</v>
      </c>
      <c r="G111" s="37">
        <v>6.7230245320161183E-2</v>
      </c>
      <c r="H111" s="37">
        <v>3.7649065788199938E-2</v>
      </c>
      <c r="I111" s="37">
        <v>7.0163540384980072E-2</v>
      </c>
      <c r="J111" s="37">
        <v>6.461277700769319E-3</v>
      </c>
      <c r="K111" s="37">
        <v>1.734959105173162E-2</v>
      </c>
      <c r="L111" s="37">
        <v>5.1796980642052272E-2</v>
      </c>
      <c r="M111" s="37">
        <v>6.463475628283466E-2</v>
      </c>
      <c r="N111" s="37">
        <v>4.6898511925348003E-2</v>
      </c>
    </row>
    <row r="112" spans="2:14" x14ac:dyDescent="0.2">
      <c r="B112" s="36">
        <v>44530</v>
      </c>
      <c r="C112" s="37">
        <v>-8.0349164116532146E-3</v>
      </c>
      <c r="D112" s="37">
        <v>2.1664977408960558E-2</v>
      </c>
      <c r="E112" s="37">
        <v>3.6217623509353651E-3</v>
      </c>
      <c r="F112" s="37">
        <v>-0.1616798150789672</v>
      </c>
      <c r="G112" s="37">
        <v>-1.6625149564856941E-2</v>
      </c>
      <c r="H112" s="37">
        <v>-3.2678602662567023E-2</v>
      </c>
      <c r="I112" s="37">
        <v>-8.0349164116532146E-3</v>
      </c>
      <c r="J112" s="37">
        <v>2.1664977408960558E-2</v>
      </c>
      <c r="K112" s="37">
        <v>3.6217623509353651E-3</v>
      </c>
      <c r="L112" s="37">
        <v>-4.7010329205424993E-2</v>
      </c>
      <c r="M112" s="37">
        <v>-3.04221529069536E-2</v>
      </c>
      <c r="N112" s="37">
        <v>-1.346654671275482E-2</v>
      </c>
    </row>
    <row r="113" spans="2:14" x14ac:dyDescent="0.2">
      <c r="B113" s="36">
        <v>44561</v>
      </c>
      <c r="C113" s="37">
        <v>4.6247864134521199E-2</v>
      </c>
      <c r="D113" s="37">
        <v>-1.3242195034402269E-2</v>
      </c>
      <c r="E113" s="37">
        <v>-8.1675202166296978E-3</v>
      </c>
      <c r="F113" s="37">
        <v>0.13412744277774941</v>
      </c>
      <c r="G113" s="37">
        <v>-2.215106456670534E-2</v>
      </c>
      <c r="H113" s="37">
        <v>8.096742749602967E-2</v>
      </c>
      <c r="I113" s="37">
        <v>4.6247864134521199E-2</v>
      </c>
      <c r="J113" s="37">
        <v>-1.3242195034402269E-2</v>
      </c>
      <c r="K113" s="37">
        <v>-8.1675202166296978E-3</v>
      </c>
      <c r="L113" s="37">
        <v>4.9456795378402418E-2</v>
      </c>
      <c r="M113" s="37">
        <v>-1.233168526441863E-2</v>
      </c>
      <c r="N113" s="37">
        <v>9.7115395792204851E-2</v>
      </c>
    </row>
    <row r="114" spans="2:14" x14ac:dyDescent="0.2">
      <c r="B114" s="36">
        <v>44592</v>
      </c>
      <c r="C114" s="37">
        <v>-5.2741316843831543E-2</v>
      </c>
      <c r="D114" s="37">
        <v>-3.2546930380111687E-2</v>
      </c>
      <c r="E114" s="37">
        <v>-5.0170290244676341E-2</v>
      </c>
      <c r="F114" s="37">
        <v>0</v>
      </c>
      <c r="G114" s="37">
        <v>-8.4360389640621425E-2</v>
      </c>
      <c r="H114" s="37">
        <v>-1.208196110384923E-2</v>
      </c>
      <c r="I114" s="37">
        <v>-5.2741316843831543E-2</v>
      </c>
      <c r="J114" s="37">
        <v>-3.2546930380111687E-2</v>
      </c>
      <c r="K114" s="37">
        <v>-5.0170290244676341E-2</v>
      </c>
      <c r="L114" s="37">
        <v>1.9152832548191619E-2</v>
      </c>
      <c r="M114" s="37">
        <v>-6.4373344619154338E-2</v>
      </c>
      <c r="N114" s="37">
        <v>-4.6254327686692243E-2</v>
      </c>
    </row>
    <row r="115" spans="2:14" x14ac:dyDescent="0.2">
      <c r="B115" s="36">
        <v>44620</v>
      </c>
      <c r="C115" s="37">
        <v>-2.951712778610693E-2</v>
      </c>
      <c r="D115" s="37">
        <v>-9.5898827079772264E-3</v>
      </c>
      <c r="E115" s="37">
        <v>-3.1363419825634842E-2</v>
      </c>
      <c r="F115" s="37">
        <v>-7.191176404646722E-4</v>
      </c>
      <c r="G115" s="37">
        <v>1.1590034671381101E-2</v>
      </c>
      <c r="H115" s="37">
        <v>-2.626528666431082E-2</v>
      </c>
      <c r="I115" s="37">
        <v>-2.951712778610693E-2</v>
      </c>
      <c r="J115" s="37">
        <v>-9.5898827079772264E-3</v>
      </c>
      <c r="K115" s="37">
        <v>-3.1363419825634842E-2</v>
      </c>
      <c r="L115" s="37">
        <v>5.987141123920816E-2</v>
      </c>
      <c r="M115" s="37">
        <v>1.0927480440342309E-2</v>
      </c>
      <c r="N115" s="37">
        <v>-2.295502051379961E-2</v>
      </c>
    </row>
    <row r="116" spans="2:14" x14ac:dyDescent="0.2">
      <c r="B116" s="36">
        <v>44651</v>
      </c>
      <c r="C116" s="37">
        <v>3.759068918207209E-2</v>
      </c>
      <c r="D116" s="37">
        <v>-5.0765248627311022E-2</v>
      </c>
      <c r="E116" s="37">
        <v>-3.289405826694547E-2</v>
      </c>
      <c r="F116" s="37">
        <v>9.7899511845403298E-2</v>
      </c>
      <c r="G116" s="37">
        <v>3.9928170179671353E-2</v>
      </c>
      <c r="H116" s="37">
        <v>4.7206438009860609E-2</v>
      </c>
      <c r="I116" s="37">
        <v>3.759068918207209E-2</v>
      </c>
      <c r="J116" s="37">
        <v>-5.0765248627311022E-2</v>
      </c>
      <c r="K116" s="37">
        <v>-3.289405826694547E-2</v>
      </c>
      <c r="L116" s="37">
        <v>4.3163775069722278E-2</v>
      </c>
      <c r="M116" s="37">
        <v>4.1109131694524237E-2</v>
      </c>
      <c r="N116" s="37">
        <v>5.4355029919053832E-2</v>
      </c>
    </row>
    <row r="117" spans="2:14" x14ac:dyDescent="0.2">
      <c r="B117" s="36">
        <v>44681</v>
      </c>
      <c r="C117" s="37">
        <v>-8.7769020054991875E-2</v>
      </c>
      <c r="D117" s="37">
        <v>-7.7978405274616636E-2</v>
      </c>
      <c r="E117" s="37">
        <v>-9.9697207443548153E-2</v>
      </c>
      <c r="F117" s="37">
        <v>2.4349166586991541E-2</v>
      </c>
      <c r="G117" s="37">
        <v>-3.3795420699525708E-2</v>
      </c>
      <c r="H117" s="37">
        <v>-1.539106207118158E-2</v>
      </c>
      <c r="I117" s="37">
        <v>-8.7769020054991875E-2</v>
      </c>
      <c r="J117" s="37">
        <v>-7.7978405274616636E-2</v>
      </c>
      <c r="K117" s="37">
        <v>-9.9697207443548153E-2</v>
      </c>
      <c r="L117" s="37">
        <v>-2.6028459544531479E-2</v>
      </c>
      <c r="M117" s="37">
        <v>-5.7842675254080489E-2</v>
      </c>
      <c r="N117" s="37">
        <v>-2.434895199030529E-2</v>
      </c>
    </row>
    <row r="118" spans="2:14" x14ac:dyDescent="0.2">
      <c r="B118" s="36">
        <v>44712</v>
      </c>
      <c r="C118" s="37">
        <v>2.256977253021875E-3</v>
      </c>
      <c r="D118" s="37">
        <v>-1.2917070382254311E-2</v>
      </c>
      <c r="E118" s="37">
        <v>1.8205015434094921E-2</v>
      </c>
      <c r="F118" s="37">
        <v>1.2827589018614549E-2</v>
      </c>
      <c r="G118" s="37">
        <v>4.1444841264274598E-2</v>
      </c>
      <c r="H118" s="37">
        <v>1.6595627660267068E-2</v>
      </c>
      <c r="I118" s="37">
        <v>2.256977253021875E-3</v>
      </c>
      <c r="J118" s="37">
        <v>-1.2917070382254311E-2</v>
      </c>
      <c r="K118" s="37">
        <v>1.8205015434094921E-2</v>
      </c>
      <c r="L118" s="37">
        <v>-7.4477964749459775E-4</v>
      </c>
      <c r="M118" s="37">
        <v>3.7184313430700611E-2</v>
      </c>
      <c r="N118" s="37">
        <v>-5.2620779845522492E-3</v>
      </c>
    </row>
    <row r="119" spans="2:14" x14ac:dyDescent="0.2">
      <c r="B119" s="36">
        <v>44742</v>
      </c>
      <c r="C119" s="37">
        <v>-8.2460504534366597E-2</v>
      </c>
      <c r="D119" s="37">
        <v>-1.4251380203739171E-2</v>
      </c>
      <c r="E119" s="37">
        <v>-4.6415537662664152E-2</v>
      </c>
      <c r="F119" s="37">
        <v>-6.6559603998465056E-2</v>
      </c>
      <c r="G119" s="37">
        <v>-0.1147459120343793</v>
      </c>
      <c r="H119" s="37">
        <v>-2.6151796988628951E-2</v>
      </c>
      <c r="I119" s="37">
        <v>-8.2460504534366597E-2</v>
      </c>
      <c r="J119" s="37">
        <v>-1.4251380203739171E-2</v>
      </c>
      <c r="K119" s="37">
        <v>-4.6415537662664152E-2</v>
      </c>
      <c r="L119" s="37">
        <v>-7.0732030688647238E-2</v>
      </c>
      <c r="M119" s="37">
        <v>-0.1196694053329246</v>
      </c>
      <c r="N119" s="37">
        <v>-4.268908275255634E-2</v>
      </c>
    </row>
    <row r="120" spans="2:14" x14ac:dyDescent="0.2">
      <c r="B120" s="36">
        <v>44773</v>
      </c>
      <c r="C120" s="37">
        <v>9.2087689980421494E-2</v>
      </c>
      <c r="D120" s="37">
        <v>2.9556747257504901E-2</v>
      </c>
      <c r="E120" s="37">
        <v>5.4578117215703603E-2</v>
      </c>
      <c r="F120" s="37">
        <v>-1.9473747034944641E-2</v>
      </c>
      <c r="G120" s="37">
        <v>6.6993974187130406E-2</v>
      </c>
      <c r="H120" s="37">
        <v>2.2965382165037251E-2</v>
      </c>
      <c r="I120" s="37">
        <v>9.2087689980421494E-2</v>
      </c>
      <c r="J120" s="37">
        <v>2.9556747257504901E-2</v>
      </c>
      <c r="K120" s="37">
        <v>5.4578117215703603E-2</v>
      </c>
      <c r="L120" s="37">
        <v>-1.680246587611476E-2</v>
      </c>
      <c r="M120" s="37">
        <v>9.5047522260837125E-2</v>
      </c>
      <c r="N120" s="37">
        <v>4.2389791602897242E-2</v>
      </c>
    </row>
    <row r="121" spans="2:14" x14ac:dyDescent="0.2">
      <c r="B121" s="36">
        <v>44804</v>
      </c>
      <c r="C121" s="37">
        <v>-4.0801925827268493E-2</v>
      </c>
      <c r="D121" s="37">
        <v>-4.555940717774265E-2</v>
      </c>
      <c r="E121" s="37">
        <v>-5.4703005681572603E-2</v>
      </c>
      <c r="F121" s="37">
        <v>-6.3792789855887044E-2</v>
      </c>
      <c r="G121" s="37">
        <v>2.3525228658886021E-2</v>
      </c>
      <c r="H121" s="37">
        <v>-3.9895667221107822E-2</v>
      </c>
      <c r="I121" s="37">
        <v>-4.0801925827268493E-2</v>
      </c>
      <c r="J121" s="37">
        <v>-4.555940717774265E-2</v>
      </c>
      <c r="K121" s="37">
        <v>-5.4703005681572603E-2</v>
      </c>
      <c r="L121" s="37">
        <v>-4.211388909891034E-2</v>
      </c>
      <c r="M121" s="37">
        <v>2.9648688845897109E-2</v>
      </c>
      <c r="N121" s="37">
        <v>-1.863102488989743E-2</v>
      </c>
    </row>
    <row r="122" spans="2:14" x14ac:dyDescent="0.2">
      <c r="B122" s="36">
        <v>44834</v>
      </c>
      <c r="C122" s="37">
        <v>-9.2446002607607825E-2</v>
      </c>
      <c r="D122" s="37">
        <v>-7.1359160176299286E-2</v>
      </c>
      <c r="E122" s="37">
        <v>-8.4900017877501011E-2</v>
      </c>
      <c r="F122" s="37">
        <v>2.067178792943825E-3</v>
      </c>
      <c r="G122" s="37">
        <v>-6.530124111692974E-2</v>
      </c>
      <c r="H122" s="37">
        <v>-6.7688030253917689E-2</v>
      </c>
      <c r="I122" s="37">
        <v>-9.2446002607607825E-2</v>
      </c>
      <c r="J122" s="37">
        <v>-7.1359160176299286E-2</v>
      </c>
      <c r="K122" s="37">
        <v>-8.4900017877501011E-2</v>
      </c>
      <c r="L122" s="37">
        <v>-2.8448477304044161E-2</v>
      </c>
      <c r="M122" s="37">
        <v>-7.8288875506914324E-2</v>
      </c>
      <c r="N122" s="37">
        <v>-8.329871233639019E-2</v>
      </c>
    </row>
    <row r="123" spans="2:14" x14ac:dyDescent="0.2">
      <c r="B123" s="36">
        <v>44865</v>
      </c>
      <c r="C123" s="37">
        <v>8.127572746039502E-2</v>
      </c>
      <c r="D123" s="37">
        <v>-4.069874235667148E-2</v>
      </c>
      <c r="E123" s="37">
        <v>-2.050568568282474E-2</v>
      </c>
      <c r="F123" s="37">
        <v>1.58570626948995E-3</v>
      </c>
      <c r="G123" s="37">
        <v>0.13340486990446029</v>
      </c>
      <c r="H123" s="37">
        <v>7.8191043305922941E-2</v>
      </c>
      <c r="I123" s="37">
        <v>8.127572746039502E-2</v>
      </c>
      <c r="J123" s="37">
        <v>-4.069874235667148E-2</v>
      </c>
      <c r="K123" s="37">
        <v>-2.050568568282474E-2</v>
      </c>
      <c r="L123" s="37">
        <v>1.4074735942716981E-2</v>
      </c>
      <c r="M123" s="37">
        <v>0.15724529767659459</v>
      </c>
      <c r="N123" s="37">
        <v>6.9703487952048171E-2</v>
      </c>
    </row>
    <row r="124" spans="2:14" x14ac:dyDescent="0.2">
      <c r="B124" s="36">
        <v>44895</v>
      </c>
      <c r="C124" s="37">
        <v>5.5591336522903489E-2</v>
      </c>
      <c r="D124" s="37">
        <v>6.4912250573790908E-2</v>
      </c>
      <c r="E124" s="37">
        <v>9.9152418013844112E-2</v>
      </c>
      <c r="F124" s="37">
        <v>3.151255100397377E-3</v>
      </c>
      <c r="G124" s="37">
        <v>1.243804784632207E-2</v>
      </c>
      <c r="H124" s="37">
        <v>4.9268782492886923E-2</v>
      </c>
      <c r="I124" s="37">
        <v>5.5591336522903489E-2</v>
      </c>
      <c r="J124" s="37">
        <v>6.4912250573790908E-2</v>
      </c>
      <c r="K124" s="37">
        <v>9.9152418013844112E-2</v>
      </c>
      <c r="L124" s="37">
        <v>7.1738480216388359E-2</v>
      </c>
      <c r="M124" s="37">
        <v>-8.2748524697937587E-3</v>
      </c>
      <c r="N124" s="37">
        <v>5.684931599001164E-2</v>
      </c>
    </row>
    <row r="125" spans="2:14" x14ac:dyDescent="0.2">
      <c r="B125" s="36">
        <v>44926</v>
      </c>
      <c r="C125" s="37">
        <v>-5.7628247153628583E-2</v>
      </c>
      <c r="D125" s="37">
        <v>-1.7187013317703888E-2</v>
      </c>
      <c r="E125" s="37">
        <v>-2.47960401251579E-2</v>
      </c>
      <c r="F125" s="37">
        <v>3.6263710579080839E-3</v>
      </c>
      <c r="G125" s="37">
        <v>-3.5182966340866859E-2</v>
      </c>
      <c r="H125" s="37">
        <v>-1.982697343719525E-2</v>
      </c>
      <c r="I125" s="37">
        <v>-5.7628247153628583E-2</v>
      </c>
      <c r="J125" s="37">
        <v>-1.7187013317703888E-2</v>
      </c>
      <c r="K125" s="37">
        <v>-2.47960401251579E-2</v>
      </c>
      <c r="L125" s="37">
        <v>2.5430043458496261E-2</v>
      </c>
      <c r="M125" s="37">
        <v>-7.9463881111811019E-2</v>
      </c>
      <c r="N125" s="37">
        <v>-1.7092605319508621E-2</v>
      </c>
    </row>
    <row r="126" spans="2:14" x14ac:dyDescent="0.2">
      <c r="B126" s="36">
        <v>44957</v>
      </c>
      <c r="C126" s="37">
        <v>6.2887563702885618E-2</v>
      </c>
      <c r="D126" s="37">
        <v>6.2026296376027863E-2</v>
      </c>
      <c r="E126" s="37">
        <v>7.6872421938023683E-2</v>
      </c>
      <c r="F126" s="37">
        <v>2.8423864018254359E-3</v>
      </c>
      <c r="G126" s="37">
        <v>2.0374774657594338E-2</v>
      </c>
      <c r="H126" s="37">
        <v>-1.232791411032162E-2</v>
      </c>
      <c r="I126" s="37">
        <v>6.2887563702885618E-2</v>
      </c>
      <c r="J126" s="37">
        <v>6.2026296376027863E-2</v>
      </c>
      <c r="K126" s="37">
        <v>7.6872421938023683E-2</v>
      </c>
      <c r="L126" s="37">
        <v>3.0420727796017882E-2</v>
      </c>
      <c r="M126" s="37">
        <v>1.260607476771214E-2</v>
      </c>
      <c r="N126" s="37">
        <v>6.2045754939665798E-4</v>
      </c>
    </row>
    <row r="127" spans="2:14" x14ac:dyDescent="0.2">
      <c r="B127" s="36">
        <v>44985</v>
      </c>
      <c r="C127" s="37">
        <v>-2.5142651560216112E-2</v>
      </c>
      <c r="D127" s="37">
        <v>-4.6567357002627603E-2</v>
      </c>
      <c r="E127" s="37">
        <v>-5.8148438544530001E-2</v>
      </c>
      <c r="F127" s="37">
        <v>3.4578122216597511E-3</v>
      </c>
      <c r="G127" s="37">
        <v>-1.261794386190556E-2</v>
      </c>
      <c r="H127" s="37">
        <v>-3.068875746684906E-2</v>
      </c>
      <c r="I127" s="37">
        <v>-2.5142651560216112E-2</v>
      </c>
      <c r="J127" s="37">
        <v>-4.6567357002627603E-2</v>
      </c>
      <c r="K127" s="37">
        <v>-5.8148438544530001E-2</v>
      </c>
      <c r="L127" s="37">
        <v>-4.7370665813584872E-2</v>
      </c>
      <c r="M127" s="37">
        <v>-1.9222098277730141E-2</v>
      </c>
      <c r="N127" s="37">
        <v>-3.3443094614465929E-2</v>
      </c>
    </row>
    <row r="128" spans="2:14" x14ac:dyDescent="0.2">
      <c r="B128" s="36">
        <v>45016</v>
      </c>
      <c r="C128" s="37">
        <v>3.7077612860413327E-2</v>
      </c>
      <c r="D128" s="37">
        <v>5.1471774378135438E-2</v>
      </c>
      <c r="E128" s="37">
        <v>4.5947224054461389E-2</v>
      </c>
      <c r="F128" s="37">
        <v>3.9908699207831244E-3</v>
      </c>
      <c r="G128" s="37">
        <v>-8.2613401872186885E-4</v>
      </c>
      <c r="H128" s="37">
        <v>3.7869327622187983E-2</v>
      </c>
      <c r="I128" s="37">
        <v>3.7077612860413327E-2</v>
      </c>
      <c r="J128" s="37">
        <v>5.1471774378135438E-2</v>
      </c>
      <c r="K128" s="37">
        <v>4.5947224054461389E-2</v>
      </c>
      <c r="L128" s="37">
        <v>4.6900439636104949E-2</v>
      </c>
      <c r="M128" s="37">
        <v>-1.181624287729255E-2</v>
      </c>
      <c r="N128" s="37">
        <v>1.550211896240339E-2</v>
      </c>
    </row>
    <row r="129" spans="2:14" x14ac:dyDescent="0.2">
      <c r="B129" s="36">
        <v>45046</v>
      </c>
      <c r="C129" s="37">
        <v>1.5974997938033478E-2</v>
      </c>
      <c r="D129" s="37">
        <v>4.0468322314568539E-3</v>
      </c>
      <c r="E129" s="37">
        <v>7.0397580072403274E-3</v>
      </c>
      <c r="F129" s="37">
        <v>3.6306093955840169E-3</v>
      </c>
      <c r="G129" s="37">
        <v>-2.3044625183387089E-3</v>
      </c>
      <c r="H129" s="37">
        <v>2.9589038604419471E-2</v>
      </c>
      <c r="I129" s="37">
        <v>1.5974997938033478E-2</v>
      </c>
      <c r="J129" s="37">
        <v>4.0468322314568539E-3</v>
      </c>
      <c r="K129" s="37">
        <v>7.0397580072403274E-3</v>
      </c>
      <c r="L129" s="37">
        <v>9.2217275442398883E-3</v>
      </c>
      <c r="M129" s="37">
        <v>-3.0104652697831691E-2</v>
      </c>
      <c r="N129" s="37">
        <v>2.6595016928117721E-2</v>
      </c>
    </row>
    <row r="130" spans="2:14" x14ac:dyDescent="0.2">
      <c r="B130" s="36">
        <v>45077</v>
      </c>
      <c r="C130" s="37">
        <v>4.6162773444813343E-3</v>
      </c>
      <c r="D130" s="37">
        <v>-2.6116655037161759E-2</v>
      </c>
      <c r="E130" s="37">
        <v>-2.8630779418439389E-2</v>
      </c>
      <c r="F130" s="37">
        <v>3.7513055919553562E-3</v>
      </c>
      <c r="G130" s="37">
        <v>-4.5562051947286478E-2</v>
      </c>
      <c r="H130" s="37">
        <v>-5.2722750033823373E-2</v>
      </c>
      <c r="I130" s="37">
        <v>4.6162773444813343E-3</v>
      </c>
      <c r="J130" s="37">
        <v>-2.6116655037161759E-2</v>
      </c>
      <c r="K130" s="37">
        <v>-2.8630779418439389E-2</v>
      </c>
      <c r="L130" s="37">
        <v>-5.0118768228588448E-2</v>
      </c>
      <c r="M130" s="37">
        <v>-1.3014984692660381E-2</v>
      </c>
      <c r="N130" s="37">
        <v>-5.2275495499800477E-2</v>
      </c>
    </row>
    <row r="131" spans="2:14" x14ac:dyDescent="0.2">
      <c r="B131" s="36">
        <v>45107</v>
      </c>
      <c r="C131" s="37">
        <v>6.4799710732086124E-2</v>
      </c>
      <c r="D131" s="37">
        <v>-1.802238558385683E-3</v>
      </c>
      <c r="E131" s="37">
        <v>1.8358612580834821E-2</v>
      </c>
      <c r="F131" s="37">
        <v>4.6067768935904576E-3</v>
      </c>
      <c r="G131" s="37">
        <v>7.162904178560961E-2</v>
      </c>
      <c r="H131" s="37">
        <v>4.1734542866876632E-2</v>
      </c>
      <c r="I131" s="37">
        <v>6.4799710732086124E-2</v>
      </c>
      <c r="J131" s="37">
        <v>-1.802238558385683E-3</v>
      </c>
      <c r="K131" s="37">
        <v>1.8358612580834821E-2</v>
      </c>
      <c r="L131" s="37">
        <v>9.6169100825713727E-3</v>
      </c>
      <c r="M131" s="37">
        <v>7.6755521305831964E-2</v>
      </c>
      <c r="N131" s="37">
        <v>4.053036851636338E-2</v>
      </c>
    </row>
    <row r="132" spans="2:14" x14ac:dyDescent="0.2">
      <c r="B132" s="36">
        <v>45138</v>
      </c>
      <c r="C132" s="37">
        <v>3.2733258256954612E-2</v>
      </c>
      <c r="D132" s="37">
        <v>-1.8988223168029061E-2</v>
      </c>
      <c r="E132" s="37">
        <v>-2.9418760117028149E-3</v>
      </c>
      <c r="F132" s="37">
        <v>3.8598817932824492E-3</v>
      </c>
      <c r="G132" s="37">
        <v>2.8409982907267671E-2</v>
      </c>
      <c r="H132" s="37">
        <v>-6.6185265336773276E-3</v>
      </c>
      <c r="I132" s="37">
        <v>3.2733258256954612E-2</v>
      </c>
      <c r="J132" s="37">
        <v>-1.8988223168029061E-2</v>
      </c>
      <c r="K132" s="37">
        <v>-2.9418760117028149E-3</v>
      </c>
      <c r="L132" s="37">
        <v>7.4214615683286619E-2</v>
      </c>
      <c r="M132" s="37">
        <v>1.1945209374649929E-2</v>
      </c>
      <c r="N132" s="37">
        <v>9.3393257302907262E-3</v>
      </c>
    </row>
    <row r="133" spans="2:14" x14ac:dyDescent="0.2">
      <c r="B133" s="36">
        <v>45169</v>
      </c>
      <c r="C133" s="37">
        <v>-1.6251943528180931E-2</v>
      </c>
      <c r="D133" s="37">
        <v>-2.166954146428135E-2</v>
      </c>
      <c r="E133" s="37">
        <v>-2.04942065806204E-2</v>
      </c>
      <c r="F133" s="37">
        <v>4.9666541064310446E-3</v>
      </c>
      <c r="G133" s="37">
        <v>-2.989381849860789E-2</v>
      </c>
      <c r="H133" s="37">
        <v>-3.6235496499843457E-2</v>
      </c>
      <c r="I133" s="37">
        <v>-1.6251943528180931E-2</v>
      </c>
      <c r="J133" s="37">
        <v>-2.166954146428135E-2</v>
      </c>
      <c r="K133" s="37">
        <v>-2.04942065806204E-2</v>
      </c>
      <c r="L133" s="37">
        <v>-1.2080864249923121E-2</v>
      </c>
      <c r="M133" s="37">
        <v>-3.003170264274346E-2</v>
      </c>
      <c r="N133" s="37">
        <v>-3.0010767841226249E-2</v>
      </c>
    </row>
    <row r="134" spans="2:14" x14ac:dyDescent="0.2">
      <c r="B134" s="36">
        <v>45199</v>
      </c>
      <c r="C134" s="37">
        <v>-4.7434469020759762E-2</v>
      </c>
      <c r="D134" s="37">
        <v>-6.457818750972677E-2</v>
      </c>
      <c r="E134" s="37">
        <v>-5.4371669618861307E-2</v>
      </c>
      <c r="F134" s="37">
        <v>3.9912192794810952E-3</v>
      </c>
      <c r="G134" s="37">
        <v>-6.3225870671588497E-2</v>
      </c>
      <c r="H134" s="37">
        <v>-4.2573793229652351E-2</v>
      </c>
      <c r="I134" s="37">
        <v>-4.7434469020759762E-2</v>
      </c>
      <c r="J134" s="37">
        <v>-6.457818750972677E-2</v>
      </c>
      <c r="K134" s="37">
        <v>-5.4371669618861307E-2</v>
      </c>
      <c r="L134" s="37">
        <v>-1.9832507614992799E-2</v>
      </c>
      <c r="M134" s="37">
        <v>-5.4511549654850062E-2</v>
      </c>
      <c r="N134" s="37">
        <v>-3.7823263876138317E-2</v>
      </c>
    </row>
    <row r="135" spans="2:14" x14ac:dyDescent="0.2">
      <c r="B135" s="36">
        <v>45230</v>
      </c>
      <c r="C135" s="37">
        <v>-2.1708661289990269E-2</v>
      </c>
      <c r="D135" s="37">
        <v>-4.0096116575202401E-2</v>
      </c>
      <c r="E135" s="37">
        <v>-4.1293679469203148E-2</v>
      </c>
      <c r="F135" s="37">
        <v>3.8093363007262742E-3</v>
      </c>
      <c r="G135" s="37">
        <v>-1.6248362717195031E-2</v>
      </c>
      <c r="H135" s="37">
        <v>-5.2849261222122869E-3</v>
      </c>
      <c r="I135" s="37">
        <v>-2.1708661289990269E-2</v>
      </c>
      <c r="J135" s="37">
        <v>-4.0096116575202401E-2</v>
      </c>
      <c r="K135" s="37">
        <v>-4.1293679469203148E-2</v>
      </c>
      <c r="L135" s="37">
        <v>9.4178150041546622E-3</v>
      </c>
      <c r="M135" s="37">
        <v>-4.8354546271642818E-2</v>
      </c>
      <c r="N135" s="37">
        <v>-4.4916030654685857E-3</v>
      </c>
    </row>
    <row r="136" spans="2:14" x14ac:dyDescent="0.2">
      <c r="B136" s="36">
        <v>45260</v>
      </c>
      <c r="C136" s="37">
        <v>9.1343779135206749E-2</v>
      </c>
      <c r="D136" s="37">
        <v>8.166580402251733E-2</v>
      </c>
      <c r="E136" s="37">
        <v>0.1123032657892034</v>
      </c>
      <c r="F136" s="37">
        <v>-6.5549286480726499E-2</v>
      </c>
      <c r="G136" s="37">
        <v>5.3803385869317627E-2</v>
      </c>
      <c r="H136" s="37">
        <v>4.4954807417276442E-2</v>
      </c>
      <c r="I136" s="37">
        <v>9.1343779135206749E-2</v>
      </c>
      <c r="J136" s="37">
        <v>8.166580402251733E-2</v>
      </c>
      <c r="K136" s="37">
        <v>0.1123032657892034</v>
      </c>
      <c r="L136" s="37">
        <v>2.4693626673203649E-2</v>
      </c>
      <c r="M136" s="37">
        <v>0.13564350321361099</v>
      </c>
      <c r="N136" s="37">
        <v>5.3512911685263287E-2</v>
      </c>
    </row>
    <row r="137" spans="2:14" x14ac:dyDescent="0.2">
      <c r="B137" s="36">
        <v>45291</v>
      </c>
      <c r="C137" s="37">
        <v>4.5655395822225657E-2</v>
      </c>
      <c r="D137" s="37">
        <v>7.3932641898153406E-2</v>
      </c>
      <c r="E137" s="37">
        <v>6.8196254435404446E-2</v>
      </c>
      <c r="F137" s="37">
        <v>4.2749851120271742E-3</v>
      </c>
      <c r="G137" s="37">
        <v>-2.183419055812996E-3</v>
      </c>
      <c r="H137" s="37">
        <v>1.6792387759713499E-2</v>
      </c>
      <c r="I137" s="37">
        <v>4.5655395822225657E-2</v>
      </c>
      <c r="J137" s="37">
        <v>7.3932641898153406E-2</v>
      </c>
      <c r="K137" s="37">
        <v>6.8196254435404446E-2</v>
      </c>
      <c r="L137" s="37">
        <v>-2.1516460647685819E-2</v>
      </c>
      <c r="M137" s="37">
        <v>7.9220792339239177E-2</v>
      </c>
      <c r="N137" s="37">
        <v>2.3338033497719349E-2</v>
      </c>
    </row>
    <row r="138" spans="2:14" x14ac:dyDescent="0.2">
      <c r="B138" s="36">
        <v>45322</v>
      </c>
      <c r="C138" s="37">
        <v>1.5926453767612699E-2</v>
      </c>
      <c r="D138" s="37">
        <v>-1.237784471706471E-2</v>
      </c>
      <c r="E138" s="37">
        <v>-7.9850928835706325E-3</v>
      </c>
      <c r="F138" s="37">
        <v>4.2674616814695199E-3</v>
      </c>
      <c r="G138" s="37">
        <v>5.8005451064141157E-2</v>
      </c>
      <c r="H138" s="37">
        <v>3.828584471231844E-2</v>
      </c>
      <c r="I138" s="37">
        <v>1.5926453767612699E-2</v>
      </c>
      <c r="J138" s="37">
        <v>-1.237784471706471E-2</v>
      </c>
      <c r="K138" s="37">
        <v>-7.9850928835706325E-3</v>
      </c>
      <c r="L138" s="37">
        <v>1.0975294176910899E-2</v>
      </c>
      <c r="M138" s="37">
        <v>3.2975027307009297E-2</v>
      </c>
      <c r="N138" s="37">
        <v>9.4068235707469583E-3</v>
      </c>
    </row>
    <row r="139" spans="2:14" x14ac:dyDescent="0.2">
      <c r="B139" s="36">
        <v>45351</v>
      </c>
      <c r="C139" s="37">
        <v>5.2186828862954782E-2</v>
      </c>
      <c r="D139" s="37">
        <v>-2.3882019770476659E-2</v>
      </c>
      <c r="E139" s="37">
        <v>-2.7156866584839841E-2</v>
      </c>
      <c r="F139" s="37">
        <v>4.4432588958180919E-3</v>
      </c>
      <c r="G139" s="37">
        <v>7.8508997883543735E-2</v>
      </c>
      <c r="H139" s="37">
        <v>2.9149312603752749E-2</v>
      </c>
      <c r="I139" s="37">
        <v>5.2186828862954782E-2</v>
      </c>
      <c r="J139" s="37">
        <v>-2.3882019770476659E-2</v>
      </c>
      <c r="K139" s="37">
        <v>-2.7156866584839841E-2</v>
      </c>
      <c r="L139" s="37">
        <v>8.6772033468979666E-3</v>
      </c>
      <c r="M139" s="37">
        <v>0.10834948635395381</v>
      </c>
      <c r="N139" s="37">
        <v>1.6057109929543009E-2</v>
      </c>
    </row>
    <row r="140" spans="2:14" x14ac:dyDescent="0.2">
      <c r="B140" s="36">
        <v>45382</v>
      </c>
      <c r="C140" s="37">
        <v>3.2701960302162547E-2</v>
      </c>
      <c r="D140" s="37">
        <v>1.2962235064442719E-2</v>
      </c>
      <c r="E140" s="37">
        <v>1.9509190007025889E-2</v>
      </c>
      <c r="F140" s="37">
        <v>4.1012271564486724E-3</v>
      </c>
      <c r="G140" s="37">
        <v>4.1854809180733712E-2</v>
      </c>
      <c r="H140" s="37">
        <v>1.7886290161643659E-2</v>
      </c>
      <c r="I140" s="37">
        <v>3.2701960302162547E-2</v>
      </c>
      <c r="J140" s="37">
        <v>1.2962235064442719E-2</v>
      </c>
      <c r="K140" s="37">
        <v>1.9509190007025889E-2</v>
      </c>
      <c r="L140" s="37">
        <v>8.5026865036835764E-2</v>
      </c>
      <c r="M140" s="37">
        <v>3.5564096184675931E-2</v>
      </c>
      <c r="N140" s="37">
        <v>3.0879159891381121E-2</v>
      </c>
    </row>
    <row r="141" spans="2:14" x14ac:dyDescent="0.2">
      <c r="B141" s="36">
        <v>45412</v>
      </c>
      <c r="C141" s="37">
        <v>-4.0319628763473059E-2</v>
      </c>
      <c r="D141" s="37">
        <v>-5.3415151599089383E-2</v>
      </c>
      <c r="E141" s="37">
        <v>-4.9183434777686053E-2</v>
      </c>
      <c r="F141" s="37">
        <v>3.8222430735949668E-3</v>
      </c>
      <c r="G141" s="37">
        <v>-4.6897568864024582E-2</v>
      </c>
      <c r="H141" s="37">
        <v>-3.6178235769896608E-2</v>
      </c>
      <c r="I141" s="37">
        <v>-4.0319628763473059E-2</v>
      </c>
      <c r="J141" s="37">
        <v>-5.3415151599089383E-2</v>
      </c>
      <c r="K141" s="37">
        <v>-4.9183434777686053E-2</v>
      </c>
      <c r="L141" s="37">
        <v>4.0947194252265187E-2</v>
      </c>
      <c r="M141" s="37">
        <v>-5.2613750735413738E-2</v>
      </c>
      <c r="N141" s="37">
        <v>-3.1256216784283253E-2</v>
      </c>
    </row>
    <row r="142" spans="2:14" x14ac:dyDescent="0.2">
      <c r="B142" s="36">
        <v>45443</v>
      </c>
      <c r="C142" s="37">
        <v>5.0579787626914292E-2</v>
      </c>
      <c r="D142" s="37">
        <v>2.7944648860632301E-2</v>
      </c>
      <c r="E142" s="37">
        <v>2.959734605727915E-2</v>
      </c>
      <c r="F142" s="37">
        <v>1.7704456070974778E-2</v>
      </c>
      <c r="G142" s="37">
        <v>9.5580697986542215E-2</v>
      </c>
      <c r="H142" s="37">
        <v>1.055084061566609E-2</v>
      </c>
      <c r="I142" s="37">
        <v>5.0579787626914292E-2</v>
      </c>
      <c r="J142" s="37">
        <v>2.7944648860632301E-2</v>
      </c>
      <c r="K142" s="37">
        <v>2.959734605727915E-2</v>
      </c>
      <c r="L142" s="37">
        <v>2.9760686653160801E-2</v>
      </c>
      <c r="M142" s="37">
        <v>5.5589230230267413E-2</v>
      </c>
      <c r="N142" s="37">
        <v>2.588230795197188E-2</v>
      </c>
    </row>
    <row r="143" spans="2:14" x14ac:dyDescent="0.2">
      <c r="B143" s="36">
        <v>45473</v>
      </c>
      <c r="C143" s="37">
        <v>3.5279973661283659E-2</v>
      </c>
      <c r="D143" s="37">
        <v>1.5504428621474281E-2</v>
      </c>
      <c r="E143" s="37">
        <v>3.146859202748598E-3</v>
      </c>
      <c r="F143" s="37">
        <v>-3.2532518919606207E-2</v>
      </c>
      <c r="G143" s="37">
        <v>-9.8363055947692703E-3</v>
      </c>
      <c r="H143" s="37">
        <v>7.0814976418568706E-3</v>
      </c>
      <c r="I143" s="37">
        <v>3.5279973661283659E-2</v>
      </c>
      <c r="J143" s="37">
        <v>1.5504428621474281E-2</v>
      </c>
      <c r="K143" s="37">
        <v>3.146859202748598E-3</v>
      </c>
      <c r="L143" s="37">
        <v>-1.5192409638340299E-2</v>
      </c>
      <c r="M143" s="37">
        <v>-1.442998861025813E-2</v>
      </c>
      <c r="N143" s="37">
        <v>-2.7778002578422441E-3</v>
      </c>
    </row>
    <row r="144" spans="2:14" x14ac:dyDescent="0.2">
      <c r="B144" s="36">
        <v>45504</v>
      </c>
      <c r="C144" s="37">
        <v>1.2109231177765739E-2</v>
      </c>
      <c r="D144" s="37">
        <v>3.4762682883095142E-2</v>
      </c>
      <c r="E144" s="37">
        <v>3.2355600829608637E-2</v>
      </c>
      <c r="F144" s="37">
        <v>1.498194576652734E-3</v>
      </c>
      <c r="G144" s="37">
        <v>-1.695649933691027E-2</v>
      </c>
      <c r="H144" s="37">
        <v>1.6955933399248051E-2</v>
      </c>
      <c r="I144" s="37">
        <v>1.2109231177765739E-2</v>
      </c>
      <c r="J144" s="37">
        <v>3.4762682883095142E-2</v>
      </c>
      <c r="K144" s="37">
        <v>3.2355600829608637E-2</v>
      </c>
      <c r="L144" s="37">
        <v>-3.0502659475320831E-3</v>
      </c>
      <c r="M144" s="37">
        <v>3.1067660870260468E-2</v>
      </c>
      <c r="N144" s="37">
        <v>4.3475368634356082E-2</v>
      </c>
    </row>
    <row r="145" spans="2:14" x14ac:dyDescent="0.2">
      <c r="B145" s="36">
        <v>45535</v>
      </c>
      <c r="C145" s="37">
        <v>2.336539556603778E-2</v>
      </c>
      <c r="D145" s="37">
        <v>1.7629568573904519E-2</v>
      </c>
      <c r="E145" s="37">
        <v>2.1900382647686008E-2</v>
      </c>
      <c r="F145" s="37">
        <v>4.5840604155072999E-4</v>
      </c>
      <c r="G145" s="37">
        <v>8.5385075206963909E-2</v>
      </c>
      <c r="H145" s="37">
        <v>5.9087049288160783E-2</v>
      </c>
      <c r="I145" s="37">
        <v>2.336539556603778E-2</v>
      </c>
      <c r="J145" s="37">
        <v>1.7629568573904519E-2</v>
      </c>
      <c r="K145" s="37">
        <v>2.1900382647686008E-2</v>
      </c>
      <c r="L145" s="37">
        <v>5.424794681955847E-3</v>
      </c>
      <c r="M145" s="37">
        <v>2.929924125581751E-2</v>
      </c>
      <c r="N145" s="37">
        <v>5.2259449443944561E-2</v>
      </c>
    </row>
    <row r="146" spans="2:14" x14ac:dyDescent="0.2">
      <c r="B146" s="36">
        <v>45565</v>
      </c>
      <c r="C146" s="37">
        <v>2.1004780000700499E-2</v>
      </c>
      <c r="D146" s="37">
        <v>2.1260622258745251E-2</v>
      </c>
      <c r="E146" s="37">
        <v>2.7655705874923608E-2</v>
      </c>
      <c r="F146" s="37">
        <v>6.4033430817171666E-2</v>
      </c>
      <c r="G146" s="37">
        <v>9.9038149014866073E-2</v>
      </c>
      <c r="H146" s="37">
        <v>-8.6422087299071089E-3</v>
      </c>
      <c r="I146" s="37">
        <v>2.1004780000700499E-2</v>
      </c>
      <c r="J146" s="37">
        <v>2.1260622258745251E-2</v>
      </c>
      <c r="K146" s="37">
        <v>2.7655705874923608E-2</v>
      </c>
      <c r="L146" s="37">
        <v>3.9156183347634398E-2</v>
      </c>
      <c r="M146" s="37">
        <v>3.8169133412313982E-2</v>
      </c>
      <c r="N146" s="37">
        <v>1.0394094727060431E-2</v>
      </c>
    </row>
    <row r="147" spans="2:14" x14ac:dyDescent="0.2">
      <c r="B147" s="36">
        <v>45596</v>
      </c>
      <c r="C147" s="37">
        <v>-8.9236473288767382E-3</v>
      </c>
      <c r="D147" s="37">
        <v>-4.9297200940576547E-2</v>
      </c>
      <c r="E147" s="37">
        <v>-4.393523205670169E-2</v>
      </c>
      <c r="F147" s="37">
        <v>4.2493487423709231E-2</v>
      </c>
      <c r="G147" s="37">
        <v>1.9868125135347459E-2</v>
      </c>
      <c r="H147" s="37">
        <v>-1.9532964689583539E-2</v>
      </c>
      <c r="I147" s="37">
        <v>-8.9236473288767382E-3</v>
      </c>
      <c r="J147" s="37">
        <v>-4.9297200940576547E-2</v>
      </c>
      <c r="K147" s="37">
        <v>-4.393523205670169E-2</v>
      </c>
      <c r="L147" s="37">
        <v>1.5986349292469181E-2</v>
      </c>
      <c r="M147" s="37">
        <v>-6.4651997165806607E-3</v>
      </c>
      <c r="N147" s="37">
        <v>-9.0738821485915055E-3</v>
      </c>
    </row>
    <row r="148" spans="2:14" x14ac:dyDescent="0.2">
      <c r="B148" s="36">
        <v>45626</v>
      </c>
      <c r="C148" s="37">
        <v>5.9633535026286433E-2</v>
      </c>
      <c r="D148" s="37">
        <v>1.7543503432751351E-2</v>
      </c>
      <c r="E148" s="37">
        <v>2.5551236444360859E-2</v>
      </c>
      <c r="F148" s="37">
        <v>-4.7321444185342731E-2</v>
      </c>
      <c r="G148" s="37">
        <v>0.16762687110708149</v>
      </c>
      <c r="H148" s="37">
        <v>5.4977129479682148E-2</v>
      </c>
      <c r="I148" s="37">
        <v>5.9633535026286433E-2</v>
      </c>
      <c r="J148" s="37">
        <v>1.7543503432751351E-2</v>
      </c>
      <c r="K148" s="37">
        <v>2.5551236444360859E-2</v>
      </c>
      <c r="L148" s="37">
        <v>-2.4472727822577939E-2</v>
      </c>
      <c r="M148" s="37">
        <v>0.1215993930831996</v>
      </c>
      <c r="N148" s="37">
        <v>5.600426989790197E-2</v>
      </c>
    </row>
    <row r="149" spans="2:14" x14ac:dyDescent="0.2">
      <c r="B149" s="36">
        <v>45657</v>
      </c>
      <c r="C149" s="37">
        <v>-2.406027380493592E-2</v>
      </c>
      <c r="D149" s="37">
        <v>-4.5789854245874888E-2</v>
      </c>
      <c r="E149" s="37">
        <v>-4.4837626415411343E-2</v>
      </c>
      <c r="F149" s="37">
        <v>-3.6018458157287769E-2</v>
      </c>
      <c r="G149" s="37">
        <v>-6.5787006698183367E-2</v>
      </c>
      <c r="H149" s="37">
        <v>-6.3628415833840199E-2</v>
      </c>
      <c r="I149" s="37">
        <v>-2.406027380493592E-2</v>
      </c>
      <c r="J149" s="37">
        <v>-4.5789854245874888E-2</v>
      </c>
      <c r="K149" s="37">
        <v>-4.4837626415411343E-2</v>
      </c>
      <c r="L149" s="37">
        <v>-1.3108594048780061E-3</v>
      </c>
      <c r="M149" s="37">
        <v>-9.0901840731599903E-2</v>
      </c>
      <c r="N149" s="37">
        <v>-6.3436985513239064E-2</v>
      </c>
    </row>
    <row r="150" spans="2:14" x14ac:dyDescent="0.2">
      <c r="B150" s="36">
        <v>45688</v>
      </c>
      <c r="C150" s="37">
        <v>2.685656057648211E-2</v>
      </c>
      <c r="D150" s="37">
        <v>7.2333471977015229E-3</v>
      </c>
      <c r="E150" s="37">
        <v>4.1457122134893609E-3</v>
      </c>
      <c r="F150" s="37">
        <v>6.6856078736433955E-2</v>
      </c>
      <c r="G150" s="37">
        <v>0.1060762957312367</v>
      </c>
      <c r="H150" s="37">
        <v>3.6175987175341602E-2</v>
      </c>
      <c r="I150" s="37">
        <v>2.685656057648211E-2</v>
      </c>
      <c r="J150" s="37">
        <v>7.2333471977015229E-3</v>
      </c>
      <c r="K150" s="37">
        <v>4.1457122134893609E-3</v>
      </c>
      <c r="L150" s="37">
        <v>5.7699837165339038E-2</v>
      </c>
      <c r="M150" s="37">
        <v>5.9254700735305477E-2</v>
      </c>
      <c r="N150" s="37">
        <v>2.0611113743596029E-2</v>
      </c>
    </row>
    <row r="151" spans="2:14" x14ac:dyDescent="0.2">
      <c r="B151" s="36">
        <v>45716</v>
      </c>
      <c r="C151" s="37">
        <v>-1.2694941488541439E-2</v>
      </c>
      <c r="D151" s="37">
        <v>4.6231182313176689E-2</v>
      </c>
      <c r="E151" s="37">
        <v>3.4316693201302588E-2</v>
      </c>
      <c r="F151" s="37">
        <v>-4.0217380720126927E-2</v>
      </c>
      <c r="G151" s="37">
        <v>-4.8463095456463268E-2</v>
      </c>
      <c r="H151" s="37">
        <v>6.3254348129888657E-2</v>
      </c>
      <c r="I151" s="37">
        <v>-1.2694941488541439E-2</v>
      </c>
      <c r="J151" s="37">
        <v>4.6231182313176689E-2</v>
      </c>
      <c r="K151" s="37">
        <v>3.4316693201302588E-2</v>
      </c>
      <c r="L151" s="37">
        <v>-1.584246136551459E-3</v>
      </c>
      <c r="M151" s="37">
        <v>-8.1701736320463958E-2</v>
      </c>
      <c r="N151" s="37">
        <v>4.6033331615837003E-2</v>
      </c>
    </row>
    <row r="152" spans="2:14" x14ac:dyDescent="0.2">
      <c r="B152" s="36">
        <v>45747</v>
      </c>
      <c r="C152" s="37">
        <v>-5.5719107776287302E-2</v>
      </c>
      <c r="D152" s="37">
        <v>-5.111057689715981E-3</v>
      </c>
      <c r="E152" s="37">
        <v>-1.424549635673511E-2</v>
      </c>
      <c r="F152" s="37">
        <v>-6.6625367979848962E-3</v>
      </c>
      <c r="G152" s="37">
        <v>-9.4778496041657806E-2</v>
      </c>
      <c r="H152" s="37">
        <v>1.0801815185816729E-2</v>
      </c>
      <c r="I152" s="37">
        <v>-5.5719107776287302E-2</v>
      </c>
      <c r="J152" s="37">
        <v>-5.111057689715981E-3</v>
      </c>
      <c r="K152" s="37">
        <v>-1.424549635673511E-2</v>
      </c>
      <c r="L152" s="37">
        <v>6.4996163573074001E-2</v>
      </c>
      <c r="M152" s="37">
        <v>-4.7771713841126551E-2</v>
      </c>
      <c r="N152" s="37">
        <v>4.1437659457606024E-3</v>
      </c>
    </row>
    <row r="153" spans="2:14" x14ac:dyDescent="0.2">
      <c r="B153" s="36">
        <v>45777</v>
      </c>
      <c r="C153" s="37">
        <v>-8.6701662301893467E-3</v>
      </c>
      <c r="D153" s="37">
        <v>-7.1577668433367991E-3</v>
      </c>
      <c r="E153" s="37">
        <v>-1.3844246625263399E-2</v>
      </c>
      <c r="F153" s="37">
        <v>5.357770610573246E-2</v>
      </c>
      <c r="G153" s="37">
        <v>2.7348687932670691E-2</v>
      </c>
      <c r="H153" s="37">
        <v>-6.3712145636334438E-3</v>
      </c>
      <c r="I153" s="37">
        <v>-8.6701662301893467E-3</v>
      </c>
      <c r="J153" s="37">
        <v>-7.1577668433367991E-3</v>
      </c>
      <c r="K153" s="37">
        <v>-1.3844246625263399E-2</v>
      </c>
      <c r="L153" s="37">
        <v>-4.9533727503116042E-2</v>
      </c>
      <c r="M153" s="37">
        <v>-9.4276272962107166E-3</v>
      </c>
      <c r="N153" s="37">
        <v>-2.375137971350905E-2</v>
      </c>
    </row>
    <row r="154" spans="2:14" x14ac:dyDescent="0.2">
      <c r="B154" s="36">
        <v>45808</v>
      </c>
      <c r="C154" s="37">
        <v>6.2844933031635852E-2</v>
      </c>
      <c r="D154" s="37">
        <v>-2.5263206183911761E-2</v>
      </c>
      <c r="E154" s="37">
        <v>-1.240697813570613E-3</v>
      </c>
      <c r="F154" s="37">
        <v>1.322850530262365E-2</v>
      </c>
      <c r="G154" s="37">
        <v>5.200924137111268E-2</v>
      </c>
      <c r="H154" s="37">
        <v>1.0429373499177989E-2</v>
      </c>
      <c r="I154" s="37">
        <v>6.2844933031635852E-2</v>
      </c>
      <c r="J154" s="37">
        <v>-2.5263206183911761E-2</v>
      </c>
      <c r="K154" s="37">
        <v>-1.240697813570613E-3</v>
      </c>
      <c r="L154" s="37">
        <v>1.8812929529907159E-2</v>
      </c>
      <c r="M154" s="37">
        <v>4.7841540514889307E-2</v>
      </c>
      <c r="N154" s="37">
        <v>1.0377801329907619E-2</v>
      </c>
    </row>
    <row r="155" spans="2:14" x14ac:dyDescent="0.2">
      <c r="B155" s="36">
        <v>45838</v>
      </c>
      <c r="C155" s="37">
        <v>5.1386230006752458E-2</v>
      </c>
      <c r="D155" s="37">
        <v>2.2605991500621151E-2</v>
      </c>
      <c r="E155" s="37">
        <v>2.999058197074778E-2</v>
      </c>
      <c r="F155" s="37">
        <v>4.0513189855819753E-3</v>
      </c>
      <c r="G155" s="37">
        <v>7.806035220248933E-2</v>
      </c>
      <c r="H155" s="37">
        <v>-5.3564360700393719E-3</v>
      </c>
      <c r="I155" s="37">
        <v>5.1386230006752458E-2</v>
      </c>
      <c r="J155" s="37">
        <v>2.2605991500621151E-2</v>
      </c>
      <c r="K155" s="37">
        <v>2.999058197074778E-2</v>
      </c>
      <c r="L155" s="37">
        <v>4.8706380869510159E-2</v>
      </c>
      <c r="M155" s="37">
        <v>5.3929263186179632E-2</v>
      </c>
      <c r="N155" s="37">
        <v>-7.092885788496428E-3</v>
      </c>
    </row>
    <row r="156" spans="2:14" x14ac:dyDescent="0.2">
      <c r="B156" s="36">
        <v>45869</v>
      </c>
      <c r="C156" s="37">
        <v>2.3031446515753281E-2</v>
      </c>
      <c r="D156" s="37">
        <v>-7.4081632944552611E-3</v>
      </c>
      <c r="E156" s="37">
        <v>-2.1307889962014488E-3</v>
      </c>
      <c r="F156" s="37">
        <v>-6.634551059805871E-3</v>
      </c>
      <c r="G156" s="37">
        <v>4.7321492725452552E-3</v>
      </c>
      <c r="H156" s="37">
        <v>-5.0516089289071931E-4</v>
      </c>
      <c r="I156" s="37">
        <v>2.3031446515753281E-2</v>
      </c>
      <c r="J156" s="37">
        <v>-7.4081632944552611E-3</v>
      </c>
      <c r="K156" s="37">
        <v>-2.1307889962014488E-3</v>
      </c>
      <c r="L156" s="37">
        <v>-8.7889177657556779E-3</v>
      </c>
      <c r="M156" s="37">
        <v>-1.7559344016472082E-2</v>
      </c>
      <c r="N156" s="37">
        <v>-2.640702274282702E-3</v>
      </c>
    </row>
    <row r="157" spans="2:14" x14ac:dyDescent="0.2">
      <c r="B157" s="36">
        <v>45900</v>
      </c>
      <c r="C157" s="37">
        <v>2.0519484044387859E-2</v>
      </c>
      <c r="D157" s="37">
        <v>8.0610257260518292E-3</v>
      </c>
      <c r="E157" s="37">
        <v>7.1358230796871869E-3</v>
      </c>
      <c r="F157" s="37">
        <v>6.7504523600800559E-2</v>
      </c>
      <c r="G157" s="37">
        <v>-4.1762534994785487E-2</v>
      </c>
      <c r="H157" s="37">
        <v>1.854547022478794E-2</v>
      </c>
      <c r="I157" s="37">
        <v>2.0519484044387859E-2</v>
      </c>
      <c r="J157" s="37">
        <v>8.0610257260518292E-3</v>
      </c>
      <c r="K157" s="37">
        <v>7.1358230796871869E-3</v>
      </c>
      <c r="L157" s="37">
        <v>3.4660256959785377E-2</v>
      </c>
      <c r="M157" s="37">
        <v>-1.408231143533167E-2</v>
      </c>
      <c r="N157" s="37">
        <v>1.5575560259015299E-2</v>
      </c>
    </row>
    <row r="158" spans="2:14" x14ac:dyDescent="0.2">
      <c r="B158" s="36">
        <v>45930</v>
      </c>
      <c r="C158" s="37">
        <v>3.5620434185299921E-2</v>
      </c>
      <c r="D158" s="37">
        <v>2.4296917260074661E-2</v>
      </c>
      <c r="E158" s="37">
        <v>3.2923267536314922E-2</v>
      </c>
      <c r="F158" s="37">
        <v>0.17076541972054149</v>
      </c>
      <c r="G158" s="37">
        <v>8.8768136895832392E-2</v>
      </c>
      <c r="H158" s="37">
        <v>3.4450986381903199E-4</v>
      </c>
      <c r="I158" s="37">
        <v>3.5620434185299921E-2</v>
      </c>
      <c r="J158" s="37">
        <v>2.4296917260074661E-2</v>
      </c>
      <c r="K158" s="37">
        <v>3.2923267536314922E-2</v>
      </c>
      <c r="L158" s="37">
        <v>6.0778419136195368E-2</v>
      </c>
      <c r="M158" s="37">
        <v>2.3848146508665739E-2</v>
      </c>
      <c r="N158" s="37">
        <v>1.557701637181941E-3</v>
      </c>
    </row>
    <row r="159" spans="2:14" x14ac:dyDescent="0.2">
      <c r="B159" s="36">
        <v>45961</v>
      </c>
      <c r="C159" s="37">
        <v>2.3837393576300991E-2</v>
      </c>
      <c r="D159" s="37">
        <v>1.1554588017127051E-2</v>
      </c>
      <c r="E159" s="37">
        <v>1.280325764514423E-3</v>
      </c>
      <c r="F159" s="37">
        <v>3.8206618621467292E-2</v>
      </c>
      <c r="G159" s="37">
        <v>-7.6167409750925869E-3</v>
      </c>
      <c r="H159" s="37">
        <v>-3.8474043028007159E-2</v>
      </c>
      <c r="I159" s="37">
        <v>2.3837393576300991E-2</v>
      </c>
      <c r="J159" s="37">
        <v>1.1554588017127051E-2</v>
      </c>
      <c r="K159" s="37">
        <v>1.280325764514423E-3</v>
      </c>
      <c r="L159" s="37">
        <v>1.8916750903120731E-2</v>
      </c>
      <c r="M159" s="37">
        <v>4.4707500219894232E-2</v>
      </c>
      <c r="N159" s="37">
        <v>-3.7160316262709658E-2</v>
      </c>
    </row>
    <row r="160" spans="2:14" x14ac:dyDescent="0.2">
      <c r="B160" s="36">
        <v>45991</v>
      </c>
      <c r="C160" s="37">
        <v>1.9500049129079771E-3</v>
      </c>
      <c r="D160" s="37">
        <v>5.9830503583928607E-3</v>
      </c>
      <c r="E160" s="37">
        <v>8.2114214594606327E-3</v>
      </c>
      <c r="F160" s="37">
        <v>0.1083053572913219</v>
      </c>
      <c r="G160" s="37">
        <v>-3.1520519432707957E-2</v>
      </c>
      <c r="H160" s="37">
        <v>3.3653525211924433E-2</v>
      </c>
      <c r="I160" s="37">
        <v>1.9500049129079771E-3</v>
      </c>
      <c r="J160" s="37">
        <v>5.9830503583928607E-3</v>
      </c>
      <c r="K160" s="37">
        <v>8.2114214594606327E-3</v>
      </c>
      <c r="L160" s="37">
        <v>4.4485103073442958E-2</v>
      </c>
      <c r="M160" s="37">
        <v>-2.7762014421372942E-2</v>
      </c>
      <c r="N160" s="37">
        <v>3.8031547614255867E-2</v>
      </c>
    </row>
    <row r="161" spans="2:14" x14ac:dyDescent="0.2">
      <c r="B161" s="36">
        <v>46022</v>
      </c>
      <c r="C161" s="37">
        <v>7.975029584423865E-4</v>
      </c>
      <c r="D161" s="37">
        <v>-1.6074235482265831E-2</v>
      </c>
      <c r="E161" s="37">
        <v>-1.525649996998657E-2</v>
      </c>
      <c r="F161" s="37">
        <v>0.1209048267278109</v>
      </c>
      <c r="G161" s="37">
        <v>4.4763293346513022E-2</v>
      </c>
      <c r="H161" s="37">
        <v>-2.5365799638733109E-2</v>
      </c>
      <c r="I161" s="37">
        <v>7.975029584423865E-4</v>
      </c>
      <c r="J161" s="37">
        <v>-1.6074235482265831E-2</v>
      </c>
      <c r="K161" s="37">
        <v>-1.525649996998657E-2</v>
      </c>
      <c r="L161" s="37">
        <v>6.7322111269482038E-2</v>
      </c>
      <c r="M161" s="37">
        <v>2.871435416549772E-3</v>
      </c>
      <c r="N161" s="37">
        <v>-2.2078815137263948E-2</v>
      </c>
    </row>
    <row r="162" spans="2:14" x14ac:dyDescent="0.2">
      <c r="B162" s="36">
        <v>46053</v>
      </c>
      <c r="C162" s="37">
        <v>1.4737728839574469E-2</v>
      </c>
      <c r="D162" s="37">
        <v>-6.884309195567262E-4</v>
      </c>
      <c r="E162" s="37">
        <v>4.7462887783547014E-3</v>
      </c>
      <c r="F162" s="37">
        <v>0.1119484303696909</v>
      </c>
      <c r="G162" s="37">
        <v>0.12951679843790709</v>
      </c>
      <c r="H162" s="37">
        <v>3.5750318940964629E-2</v>
      </c>
      <c r="I162" s="37">
        <v>1.4737728839574469E-2</v>
      </c>
      <c r="J162" s="37">
        <v>-6.884309195567262E-4</v>
      </c>
      <c r="K162" s="37">
        <v>4.7462887783547014E-3</v>
      </c>
      <c r="L162" s="37">
        <v>9.8225724387863436E-2</v>
      </c>
      <c r="M162" s="37">
        <v>3.9605455109505971E-2</v>
      </c>
      <c r="N162" s="37">
        <v>3.3128161897861157E-2</v>
      </c>
    </row>
    <row r="163" spans="2:14" x14ac:dyDescent="0.2">
      <c r="B163" s="36">
        <v>46081</v>
      </c>
      <c r="C163" s="37">
        <v>-8.6419583402239653E-3</v>
      </c>
      <c r="D163" s="37">
        <v>3.7344340546809462E-2</v>
      </c>
      <c r="E163" s="37">
        <v>1.8533120160897368E-2</v>
      </c>
      <c r="F163" s="37">
        <v>7.5381286720981988E-2</v>
      </c>
      <c r="G163" s="37">
        <v>7.6517541699482633E-2</v>
      </c>
      <c r="H163" s="37">
        <v>8.4206321340796045E-2</v>
      </c>
      <c r="I163" s="37">
        <v>-8.6419583402239653E-3</v>
      </c>
      <c r="J163" s="37">
        <v>3.7344340546809462E-2</v>
      </c>
      <c r="K163" s="37">
        <v>1.8533120160897368E-2</v>
      </c>
      <c r="L163" s="37">
        <v>5.4146371468689752E-2</v>
      </c>
      <c r="M163" s="37">
        <v>7.7946384506438982E-2</v>
      </c>
      <c r="N163" s="37">
        <v>5.2788224092598979E-2</v>
      </c>
    </row>
    <row r="164" spans="2:14" x14ac:dyDescent="0.2">
      <c r="B164" s="36">
        <v>46112</v>
      </c>
      <c r="C164" s="37">
        <v>-4.937956664344334E-2</v>
      </c>
      <c r="D164" s="37">
        <v>-3.7655023638633933E-2</v>
      </c>
      <c r="E164" s="37">
        <v>-2.900490697553448E-2</v>
      </c>
      <c r="F164" s="37">
        <v>-0.12540063499292581</v>
      </c>
      <c r="G164" s="37">
        <v>-7.3757386176691531E-2</v>
      </c>
      <c r="H164" s="37">
        <v>-4.650585546229994E-2</v>
      </c>
      <c r="I164" s="37">
        <v>-4.937956664344334E-2</v>
      </c>
      <c r="J164" s="37">
        <v>-3.7655023638633933E-2</v>
      </c>
      <c r="K164" s="37">
        <v>-2.900490697553448E-2</v>
      </c>
      <c r="L164" s="37">
        <v>4.5507154729451153E-2</v>
      </c>
      <c r="M164" s="37">
        <v>-6.6433426072779689E-2</v>
      </c>
      <c r="N164" s="37">
        <v>-5.3272201827852639E-2</v>
      </c>
    </row>
    <row r="165" spans="2:14" x14ac:dyDescent="0.2">
      <c r="B165" s="36">
        <v>46142</v>
      </c>
      <c r="C165" s="37">
        <v>0.10505268686597249</v>
      </c>
      <c r="D165" s="37">
        <v>-4.9735621820454767E-3</v>
      </c>
      <c r="E165" s="37">
        <v>3.307971379093777E-3</v>
      </c>
      <c r="F165" s="37">
        <v>2.229252540649812E-2</v>
      </c>
      <c r="G165" s="37">
        <v>0.2041196124403068</v>
      </c>
      <c r="H165" s="37">
        <v>6.3591222750371589E-3</v>
      </c>
      <c r="I165" s="37">
        <v>0.10505268686597249</v>
      </c>
      <c r="J165" s="37">
        <v>-4.9735621820454767E-3</v>
      </c>
      <c r="K165" s="37">
        <v>3.307971379093777E-3</v>
      </c>
      <c r="L165" s="37">
        <v>4.1153395167377753E-2</v>
      </c>
      <c r="M165" s="37">
        <v>0.1233202152268915</v>
      </c>
      <c r="N165" s="37">
        <v>2.032974649638275E-2</v>
      </c>
    </row>
    <row r="166" spans="2:14" x14ac:dyDescent="0.2">
      <c r="B166" s="36">
        <v>46173</v>
      </c>
      <c r="C166" s="37">
        <v>5.262575303750272E-2</v>
      </c>
      <c r="D166" s="37">
        <v>4.4133968152031411E-3</v>
      </c>
      <c r="E166" s="37">
        <v>1.544098817298933E-2</v>
      </c>
      <c r="F166" s="37">
        <v>-6.9405493368139226E-2</v>
      </c>
      <c r="G166" s="37">
        <v>2.970838029200289E-2</v>
      </c>
      <c r="H166" s="37">
        <v>-3.1789019306312789E-2</v>
      </c>
      <c r="I166" s="37">
        <v>5.262575303750272E-2</v>
      </c>
      <c r="J166" s="37">
        <v>4.4133968152031411E-3</v>
      </c>
      <c r="K166" s="37">
        <v>1.544098817298933E-2</v>
      </c>
      <c r="L166" s="37">
        <v>-1.53605235711195E-2</v>
      </c>
      <c r="M166" s="37">
        <v>4.8166381130278602E-2</v>
      </c>
      <c r="N166" s="37">
        <v>-2.8782349020671009E-2</v>
      </c>
    </row>
    <row r="167" spans="2:14" x14ac:dyDescent="0.2">
      <c r="B167" s="36">
        <v>46203</v>
      </c>
      <c r="C167" s="37">
        <v>-1.0292566443839021E-2</v>
      </c>
      <c r="D167" s="37">
        <v>8.5527776110296827E-3</v>
      </c>
      <c r="E167" s="37">
        <v>2.330959311212188E-3</v>
      </c>
      <c r="F167" s="37">
        <v>-0.17595893980195371</v>
      </c>
      <c r="G167" s="37">
        <v>5.0078708289403737E-2</v>
      </c>
      <c r="H167" s="37">
        <v>4.6235798473094468E-2</v>
      </c>
      <c r="I167" s="37">
        <v>-1.0292566443839021E-2</v>
      </c>
      <c r="J167" s="37">
        <v>8.5527776110296827E-3</v>
      </c>
      <c r="K167" s="37">
        <v>2.330959311212188E-3</v>
      </c>
      <c r="L167" s="37">
        <v>-0.1120289969052283</v>
      </c>
      <c r="M167" s="37">
        <v>-2.11363538703454E-2</v>
      </c>
      <c r="N167" s="37">
        <v>3.9214648816969573E-2</v>
      </c>
    </row>
    <row r="168" spans="2:14" x14ac:dyDescent="0.2">
      <c r="B168" s="36">
        <v>46234</v>
      </c>
      <c r="C168" s="37">
        <v>3.4817917005858229E-4</v>
      </c>
      <c r="D168" s="37">
        <v>-3.4474514462222827E-2</v>
      </c>
      <c r="E168" s="37">
        <v>-3.895451981814968E-2</v>
      </c>
      <c r="F168" s="37">
        <v>0.13052503024541021</v>
      </c>
      <c r="G168" s="37">
        <v>-0.28979225516429452</v>
      </c>
      <c r="H168" s="37">
        <v>1.0640335533760439E-2</v>
      </c>
      <c r="I168" s="37">
        <v>3.4817917005858229E-4</v>
      </c>
      <c r="J168" s="37">
        <v>-3.4474514462222827E-2</v>
      </c>
      <c r="K168" s="37">
        <v>-3.895451981814968E-2</v>
      </c>
      <c r="L168" s="37">
        <v>5.6272984484066743E-2</v>
      </c>
      <c r="M168" s="37">
        <v>-6.3381243241425578E-2</v>
      </c>
      <c r="N168" s="37">
        <v>1.963458255780326E-2</v>
      </c>
    </row>
    <row r="169" spans="2:14" x14ac:dyDescent="0.2">
      <c r="B169" s="36">
        <v>46265</v>
      </c>
      <c r="C169" s="37">
        <v>2.9878245068770019E-2</v>
      </c>
      <c r="D169" s="37">
        <v>1.1740824489193219E-2</v>
      </c>
      <c r="E169" s="37">
        <v>9.9107152604784865E-3</v>
      </c>
      <c r="F169" s="37">
        <v>2.1584228460437842E-3</v>
      </c>
      <c r="G169" s="37">
        <v>0.36229974585989583</v>
      </c>
      <c r="H169" s="37">
        <v>-1.534113216028697E-2</v>
      </c>
      <c r="I169" s="37">
        <v>2.9878245068770019E-2</v>
      </c>
      <c r="J169" s="37">
        <v>1.1740824489193219E-2</v>
      </c>
      <c r="K169" s="37">
        <v>9.9107152604784865E-3</v>
      </c>
      <c r="L169" s="37">
        <v>6.2954950777978705E-2</v>
      </c>
      <c r="M169" s="37">
        <v>-9.2893623330345676E-3</v>
      </c>
      <c r="N169" s="37">
        <v>-1.8351058165016809E-2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33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40" customWidth="1"/>
    <col min="3" max="8" width="16" customWidth="1"/>
  </cols>
  <sheetData>
    <row r="2" spans="2:8" ht="18" x14ac:dyDescent="0.2">
      <c r="B2" s="1" t="s">
        <v>194</v>
      </c>
    </row>
    <row r="3" spans="2:8" x14ac:dyDescent="0.2">
      <c r="B3" s="2" t="s">
        <v>195</v>
      </c>
    </row>
    <row r="5" spans="2:8" ht="42" x14ac:dyDescent="0.2">
      <c r="B5" s="4" t="s">
        <v>116</v>
      </c>
      <c r="C5" s="4" t="s">
        <v>196</v>
      </c>
      <c r="D5" s="4" t="s">
        <v>197</v>
      </c>
      <c r="E5" s="4" t="s">
        <v>198</v>
      </c>
      <c r="F5" s="4" t="s">
        <v>199</v>
      </c>
    </row>
    <row r="6" spans="2:8" x14ac:dyDescent="0.2">
      <c r="B6" s="6" t="s">
        <v>200</v>
      </c>
      <c r="C6" s="38">
        <f>AVERAGE('04_Datos_Mensuales'!$C$6:$C$169)*12</f>
        <v>0.15115942905718055</v>
      </c>
      <c r="D6" s="38">
        <f>_xlfn.STDEV.S('04_Datos_Mensuales'!$C$6:$C$169)*SQRT(12)</f>
        <v>0.14210531185313521</v>
      </c>
      <c r="E6" s="27">
        <v>0.4532040530210445</v>
      </c>
      <c r="F6" s="23">
        <v>0.37890000000000001</v>
      </c>
    </row>
    <row r="7" spans="2:8" x14ac:dyDescent="0.2">
      <c r="B7" s="6" t="s">
        <v>201</v>
      </c>
      <c r="C7" s="38">
        <f>AVERAGE('04_Datos_Mensuales'!$D$6:$D$169)*12</f>
        <v>7.2862204344317904E-3</v>
      </c>
      <c r="D7" s="38">
        <f>_xlfn.STDEV.S('04_Datos_Mensuales'!$D$6:$D$169)*SQRT(12)</f>
        <v>9.7651025549005191E-2</v>
      </c>
      <c r="E7" s="27">
        <v>8.0000000000000043E-2</v>
      </c>
      <c r="F7" s="23">
        <v>0.16869999999999999</v>
      </c>
    </row>
    <row r="8" spans="2:8" x14ac:dyDescent="0.2">
      <c r="B8" s="6" t="s">
        <v>202</v>
      </c>
      <c r="C8" s="38">
        <f>AVERAGE('04_Datos_Mensuales'!$E$6:$E$169)*12</f>
        <v>3.2477392985413432E-2</v>
      </c>
      <c r="D8" s="38">
        <f>_xlfn.STDEV.S('04_Datos_Mensuales'!$E$6:$E$169)*SQRT(12)</f>
        <v>0.11242894032052993</v>
      </c>
      <c r="E8" s="27">
        <v>7.999999999999996E-2</v>
      </c>
      <c r="F8" s="23">
        <v>0.14599999999999999</v>
      </c>
    </row>
    <row r="9" spans="2:8" x14ac:dyDescent="0.2">
      <c r="B9" s="6" t="s">
        <v>108</v>
      </c>
      <c r="C9" s="38">
        <f>AVERAGE('04_Datos_Mensuales'!$F$6:$F$169)*12</f>
        <v>9.0945485889333572E-2</v>
      </c>
      <c r="D9" s="38">
        <f>_xlfn.STDEV.S('04_Datos_Mensuales'!$F$6:$F$169)*SQRT(12)</f>
        <v>0.16986918901657652</v>
      </c>
      <c r="E9" s="27">
        <v>0.1841688344420333</v>
      </c>
      <c r="F9" s="23">
        <v>6.1100000000000002E-2</v>
      </c>
    </row>
    <row r="10" spans="2:8" x14ac:dyDescent="0.2">
      <c r="B10" s="6" t="s">
        <v>96</v>
      </c>
      <c r="C10" s="38">
        <f>AVERAGE('04_Datos_Mensuales'!$G$6:$G$169)*12</f>
        <v>0.17891679637532015</v>
      </c>
      <c r="D10" s="38">
        <f>_xlfn.STDEV.S('04_Datos_Mensuales'!$G$6:$G$169)*SQRT(12)</f>
        <v>0.23760947303521818</v>
      </c>
      <c r="E10" s="27">
        <v>2.3067044322446981E-2</v>
      </c>
      <c r="F10" s="23">
        <v>7.0599999999999996E-2</v>
      </c>
    </row>
    <row r="11" spans="2:8" x14ac:dyDescent="0.2">
      <c r="B11" s="6" t="s">
        <v>105</v>
      </c>
      <c r="C11" s="38">
        <f>AVERAGE('04_Datos_Mensuales'!$H$6:$H$169)*12</f>
        <v>0.10933590679494359</v>
      </c>
      <c r="D11" s="38">
        <f>_xlfn.STDEV.S('04_Datos_Mensuales'!$H$6:$H$169)*SQRT(12)</f>
        <v>0.11960374802846656</v>
      </c>
      <c r="E11" s="27">
        <v>0.1795600682144752</v>
      </c>
      <c r="F11" s="23">
        <v>0.17460000000000001</v>
      </c>
    </row>
    <row r="13" spans="2:8" x14ac:dyDescent="0.2">
      <c r="B13" s="25" t="s">
        <v>203</v>
      </c>
    </row>
    <row r="14" spans="2:8" ht="28" x14ac:dyDescent="0.2">
      <c r="C14" s="4" t="s">
        <v>200</v>
      </c>
      <c r="D14" s="4" t="s">
        <v>204</v>
      </c>
      <c r="E14" s="4" t="s">
        <v>205</v>
      </c>
      <c r="F14" s="4" t="s">
        <v>206</v>
      </c>
      <c r="G14" s="4" t="s">
        <v>96</v>
      </c>
      <c r="H14" s="4" t="s">
        <v>105</v>
      </c>
    </row>
    <row r="15" spans="2:8" x14ac:dyDescent="0.2">
      <c r="B15" s="6" t="s">
        <v>200</v>
      </c>
      <c r="C15" s="39">
        <f>_xlfn.COVARIANCE.S('04_Datos_Mensuales'!$C$6:$C$169,'04_Datos_Mensuales'!$C$6:$C$169)*12</f>
        <v>2.0193919656876808E-2</v>
      </c>
      <c r="D15" s="39">
        <f>_xlfn.COVARIANCE.S('04_Datos_Mensuales'!$C$6:$C$169,'04_Datos_Mensuales'!$D$6:$D$169)*12</f>
        <v>1.9422947214734975E-3</v>
      </c>
      <c r="E15" s="39">
        <f>_xlfn.COVARIANCE.S('04_Datos_Mensuales'!$C$6:$C$169,'04_Datos_Mensuales'!$E$6:$E$169)*12</f>
        <v>8.2633463445028876E-3</v>
      </c>
      <c r="F15" s="39">
        <f>_xlfn.COVARIANCE.S('04_Datos_Mensuales'!$C$6:$C$169,'04_Datos_Mensuales'!$F$6:$F$169)*12</f>
        <v>2.9462006658937494E-3</v>
      </c>
      <c r="G15" s="39">
        <f>_xlfn.COVARIANCE.S('04_Datos_Mensuales'!$C$6:$C$169,'04_Datos_Mensuales'!$G$6:$G$169)*12</f>
        <v>2.2179708913472363E-2</v>
      </c>
      <c r="H15" s="39">
        <f>_xlfn.COVARIANCE.S('04_Datos_Mensuales'!$C$6:$C$169,'04_Datos_Mensuales'!$H$6:$H$169)*12</f>
        <v>1.0957724549712821E-2</v>
      </c>
    </row>
    <row r="16" spans="2:8" x14ac:dyDescent="0.2">
      <c r="B16" s="6" t="s">
        <v>201</v>
      </c>
      <c r="C16" s="39">
        <f>_xlfn.COVARIANCE.S('04_Datos_Mensuales'!$D$6:$D$169,'04_Datos_Mensuales'!$C$6:$C$169)*12</f>
        <v>1.9422947214734975E-3</v>
      </c>
      <c r="D16" s="39">
        <f>_xlfn.COVARIANCE.S('04_Datos_Mensuales'!$D$6:$D$169,'04_Datos_Mensuales'!$D$6:$D$169)*12</f>
        <v>9.53572279077247E-3</v>
      </c>
      <c r="E16" s="39">
        <f>_xlfn.COVARIANCE.S('04_Datos_Mensuales'!$D$6:$D$169,'04_Datos_Mensuales'!$E$6:$E$169)*12</f>
        <v>8.8023948085053337E-3</v>
      </c>
      <c r="F16" s="39">
        <f>_xlfn.COVARIANCE.S('04_Datos_Mensuales'!$D$6:$D$169,'04_Datos_Mensuales'!$F$6:$F$169)*12</f>
        <v>4.912804535467199E-4</v>
      </c>
      <c r="G16" s="39">
        <f>_xlfn.COVARIANCE.S('04_Datos_Mensuales'!$D$6:$D$169,'04_Datos_Mensuales'!$G$6:$G$169)*12</f>
        <v>2.2199497032059879E-3</v>
      </c>
      <c r="H16" s="39">
        <f>_xlfn.COVARIANCE.S('04_Datos_Mensuales'!$D$6:$D$169,'04_Datos_Mensuales'!$H$6:$H$169)*12</f>
        <v>2.809297584110978E-3</v>
      </c>
    </row>
    <row r="17" spans="2:8" x14ac:dyDescent="0.2">
      <c r="B17" s="6" t="s">
        <v>202</v>
      </c>
      <c r="C17" s="39">
        <f>_xlfn.COVARIANCE.S('04_Datos_Mensuales'!$E$6:$E$169,'04_Datos_Mensuales'!$C$6:$C$169)*12</f>
        <v>8.2633463445028876E-3</v>
      </c>
      <c r="D17" s="39">
        <f>_xlfn.COVARIANCE.S('04_Datos_Mensuales'!$E$6:$E$169,'04_Datos_Mensuales'!$D$6:$D$169)*12</f>
        <v>8.8023948085053337E-3</v>
      </c>
      <c r="E17" s="39">
        <f>_xlfn.COVARIANCE.S('04_Datos_Mensuales'!$E$6:$E$169,'04_Datos_Mensuales'!$E$6:$E$169)*12</f>
        <v>1.2640266621597267E-2</v>
      </c>
      <c r="F17" s="39">
        <f>_xlfn.COVARIANCE.S('04_Datos_Mensuales'!$E$6:$E$169,'04_Datos_Mensuales'!$F$6:$F$169)*12</f>
        <v>1.3006452116745004E-3</v>
      </c>
      <c r="G17" s="39">
        <f>_xlfn.COVARIANCE.S('04_Datos_Mensuales'!$E$6:$E$169,'04_Datos_Mensuales'!$G$6:$G$169)*12</f>
        <v>8.9000153481756609E-3</v>
      </c>
      <c r="H17" s="39">
        <f>_xlfn.COVARIANCE.S('04_Datos_Mensuales'!$E$6:$E$169,'04_Datos_Mensuales'!$H$6:$H$169)*12</f>
        <v>6.3891182803261556E-3</v>
      </c>
    </row>
    <row r="18" spans="2:8" x14ac:dyDescent="0.2">
      <c r="B18" s="6" t="s">
        <v>108</v>
      </c>
      <c r="C18" s="39">
        <f>_xlfn.COVARIANCE.S('04_Datos_Mensuales'!$F$6:$F$169,'04_Datos_Mensuales'!$C$6:$C$169)*12</f>
        <v>2.9462006658937494E-3</v>
      </c>
      <c r="D18" s="39">
        <f>_xlfn.COVARIANCE.S('04_Datos_Mensuales'!$F$6:$F$169,'04_Datos_Mensuales'!$D$6:$D$169)*12</f>
        <v>4.912804535467199E-4</v>
      </c>
      <c r="E18" s="39">
        <f>_xlfn.COVARIANCE.S('04_Datos_Mensuales'!$F$6:$F$169,'04_Datos_Mensuales'!$E$6:$E$169)*12</f>
        <v>1.3006452116745004E-3</v>
      </c>
      <c r="F18" s="39">
        <f>_xlfn.COVARIANCE.S('04_Datos_Mensuales'!$F$6:$F$169,'04_Datos_Mensuales'!$F$6:$F$169)*12</f>
        <v>2.8855541377149411E-2</v>
      </c>
      <c r="G18" s="39">
        <f>_xlfn.COVARIANCE.S('04_Datos_Mensuales'!$F$6:$F$169,'04_Datos_Mensuales'!$G$6:$G$169)*12</f>
        <v>5.4767264803931839E-3</v>
      </c>
      <c r="H18" s="39">
        <f>_xlfn.COVARIANCE.S('04_Datos_Mensuales'!$F$6:$F$169,'04_Datos_Mensuales'!$H$6:$H$169)*12</f>
        <v>3.6258223813664427E-3</v>
      </c>
    </row>
    <row r="19" spans="2:8" x14ac:dyDescent="0.2">
      <c r="B19" s="6" t="s">
        <v>96</v>
      </c>
      <c r="C19" s="39">
        <f>_xlfn.COVARIANCE.S('04_Datos_Mensuales'!$G$6:$G$169,'04_Datos_Mensuales'!$C$6:$C$169)*12</f>
        <v>2.2179708913472363E-2</v>
      </c>
      <c r="D19" s="39">
        <f>_xlfn.COVARIANCE.S('04_Datos_Mensuales'!$G$6:$G$169,'04_Datos_Mensuales'!$D$6:$D$169)*12</f>
        <v>2.2199497032059879E-3</v>
      </c>
      <c r="E19" s="39">
        <f>_xlfn.COVARIANCE.S('04_Datos_Mensuales'!$G$6:$G$169,'04_Datos_Mensuales'!$E$6:$E$169)*12</f>
        <v>8.9000153481756609E-3</v>
      </c>
      <c r="F19" s="39">
        <f>_xlfn.COVARIANCE.S('04_Datos_Mensuales'!$G$6:$G$169,'04_Datos_Mensuales'!$F$6:$F$169)*12</f>
        <v>5.4767264803931839E-3</v>
      </c>
      <c r="G19" s="39">
        <f>_xlfn.COVARIANCE.S('04_Datos_Mensuales'!$G$6:$G$169,'04_Datos_Mensuales'!$G$6:$G$169)*12</f>
        <v>5.6458261676074081E-2</v>
      </c>
      <c r="H19" s="39">
        <f>_xlfn.COVARIANCE.S('04_Datos_Mensuales'!$G$6:$G$169,'04_Datos_Mensuales'!$H$6:$H$169)*12</f>
        <v>1.2453708244859092E-2</v>
      </c>
    </row>
    <row r="20" spans="2:8" x14ac:dyDescent="0.2">
      <c r="B20" s="6" t="s">
        <v>105</v>
      </c>
      <c r="C20" s="39">
        <f>_xlfn.COVARIANCE.S('04_Datos_Mensuales'!$H$6:$H$169,'04_Datos_Mensuales'!$C$6:$C$169)*12</f>
        <v>1.0957724549712821E-2</v>
      </c>
      <c r="D20" s="39">
        <f>_xlfn.COVARIANCE.S('04_Datos_Mensuales'!$H$6:$H$169,'04_Datos_Mensuales'!$D$6:$D$169)*12</f>
        <v>2.809297584110978E-3</v>
      </c>
      <c r="E20" s="39">
        <f>_xlfn.COVARIANCE.S('04_Datos_Mensuales'!$H$6:$H$169,'04_Datos_Mensuales'!$E$6:$E$169)*12</f>
        <v>6.3891182803261556E-3</v>
      </c>
      <c r="F20" s="39">
        <f>_xlfn.COVARIANCE.S('04_Datos_Mensuales'!$H$6:$H$169,'04_Datos_Mensuales'!$F$6:$F$169)*12</f>
        <v>3.6258223813664427E-3</v>
      </c>
      <c r="G20" s="39">
        <f>_xlfn.COVARIANCE.S('04_Datos_Mensuales'!$H$6:$H$169,'04_Datos_Mensuales'!$G$6:$G$169)*12</f>
        <v>1.2453708244859092E-2</v>
      </c>
      <c r="H20" s="39">
        <f>_xlfn.COVARIANCE.S('04_Datos_Mensuales'!$H$6:$H$169,'04_Datos_Mensuales'!$H$6:$H$169)*12</f>
        <v>1.4305056542456906E-2</v>
      </c>
    </row>
    <row r="23" spans="2:8" x14ac:dyDescent="0.2">
      <c r="B23" s="25" t="s">
        <v>207</v>
      </c>
    </row>
    <row r="24" spans="2:8" x14ac:dyDescent="0.2">
      <c r="B24" s="6" t="s">
        <v>196</v>
      </c>
      <c r="C24" s="40">
        <f t="array" ref="C24">SUMPRODUCT(E6:E11,C6:C11)</f>
        <v>0.11219592366306314</v>
      </c>
    </row>
    <row r="25" spans="2:8" x14ac:dyDescent="0.2">
      <c r="B25" s="6" t="s">
        <v>197</v>
      </c>
      <c r="C25" s="40">
        <f t="array" ref="C25">SQRT(MMULT(TRANSPOSE(E6:E11),MMULT(C15:H20,E6:E11)))</f>
        <v>0.10049338513244022</v>
      </c>
    </row>
    <row r="26" spans="2:8" x14ac:dyDescent="0.2">
      <c r="B26" s="6" t="s">
        <v>208</v>
      </c>
      <c r="C26" s="41">
        <f>C24/C25</f>
        <v>1.1164508342036656</v>
      </c>
    </row>
    <row r="27" spans="2:8" x14ac:dyDescent="0.2">
      <c r="B27" s="25" t="s">
        <v>209</v>
      </c>
    </row>
    <row r="28" spans="2:8" x14ac:dyDescent="0.2">
      <c r="B28" s="6" t="s">
        <v>196</v>
      </c>
      <c r="C28" s="40">
        <f t="array" ref="C28">SUMPRODUCT(F6:F11,C6:C11)</f>
        <v>0.10052353677125775</v>
      </c>
    </row>
    <row r="29" spans="2:8" x14ac:dyDescent="0.2">
      <c r="B29" s="6" t="s">
        <v>197</v>
      </c>
      <c r="C29" s="40">
        <f t="array" ref="C29">SQRT(MMULT(TRANSPOSE(F6:F11),MMULT(C15:H20,F6:F11)))</f>
        <v>9.9130185150212505E-2</v>
      </c>
    </row>
    <row r="30" spans="2:8" x14ac:dyDescent="0.2">
      <c r="B30" s="6" t="s">
        <v>208</v>
      </c>
      <c r="C30" s="41">
        <f>C28/C29</f>
        <v>1.0140557754324164</v>
      </c>
    </row>
    <row r="32" spans="2:8" x14ac:dyDescent="0.2">
      <c r="B32" s="15" t="s">
        <v>210</v>
      </c>
    </row>
    <row r="33" spans="2:3" x14ac:dyDescent="0.2">
      <c r="B33" s="6" t="s">
        <v>211</v>
      </c>
      <c r="C33" s="42" t="str">
        <f>IF(AND(SUM(E6:E8)&gt;=0.6-0.000001,SUM(E6:E8)&lt;=0.7+0.000001,ABS(SUM(E6:E11)-1)&lt;0.000001),"OK","REVISAR")</f>
        <v>OK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52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40" customWidth="1"/>
    <col min="3" max="10" width="15" customWidth="1"/>
    <col min="11" max="11" width="50" customWidth="1"/>
  </cols>
  <sheetData>
    <row r="2" spans="2:11" ht="18" x14ac:dyDescent="0.2">
      <c r="B2" s="1" t="s">
        <v>212</v>
      </c>
    </row>
    <row r="3" spans="2:11" x14ac:dyDescent="0.2">
      <c r="B3" s="2" t="s">
        <v>213</v>
      </c>
    </row>
    <row r="5" spans="2:11" ht="42" x14ac:dyDescent="0.2">
      <c r="B5" s="4" t="s">
        <v>116</v>
      </c>
      <c r="C5" s="4" t="s">
        <v>168</v>
      </c>
      <c r="D5" s="4" t="s">
        <v>214</v>
      </c>
      <c r="E5" s="4" t="s">
        <v>215</v>
      </c>
      <c r="F5" s="4" t="s">
        <v>216</v>
      </c>
      <c r="G5" s="4" t="s">
        <v>217</v>
      </c>
      <c r="H5" s="4" t="s">
        <v>218</v>
      </c>
      <c r="I5" s="4" t="s">
        <v>219</v>
      </c>
    </row>
    <row r="6" spans="2:11" x14ac:dyDescent="0.2">
      <c r="B6" s="6" t="s">
        <v>200</v>
      </c>
      <c r="C6" s="43">
        <f>'05_Markowitz'!D6</f>
        <v>0.14210531185313521</v>
      </c>
      <c r="D6" s="38">
        <f t="shared" ref="D6:D11" si="0">(1/C6)/SUMPRODUCT(1/$C$6:$C$11)</f>
        <v>0.1576802831993058</v>
      </c>
      <c r="E6" s="38">
        <f t="array" ref="E6:E11">'01_Supuestos'!$D$29*MMULT('05_Markowitz'!$C$15:$H$20,D6:D11)</f>
        <v>2.4524682561439297E-2</v>
      </c>
      <c r="F6" s="44">
        <f t="shared" ref="F6:F11" si="1">C31</f>
        <v>4.2696584694619677E-2</v>
      </c>
      <c r="G6" s="27">
        <v>0.37268829152197508</v>
      </c>
      <c r="H6" s="43">
        <f>'05_Markowitz'!F6</f>
        <v>0.37890000000000001</v>
      </c>
      <c r="I6" s="41">
        <f t="shared" ref="I6:I11" si="2">(G6-H6)*100</f>
        <v>-0.62117084780249354</v>
      </c>
    </row>
    <row r="7" spans="2:11" x14ac:dyDescent="0.2">
      <c r="B7" s="6" t="s">
        <v>201</v>
      </c>
      <c r="C7" s="43">
        <f>'05_Markowitz'!D7</f>
        <v>9.7651025549005191E-2</v>
      </c>
      <c r="D7" s="38">
        <f t="shared" si="0"/>
        <v>0.22946206341563916</v>
      </c>
      <c r="E7" s="38">
        <v>1.2622837121028858E-2</v>
      </c>
      <c r="F7" s="44">
        <f t="shared" si="1"/>
        <v>1.4538400850554287E-2</v>
      </c>
      <c r="G7" s="27">
        <v>0.17089026192203091</v>
      </c>
      <c r="H7" s="43">
        <f>'05_Markowitz'!F7</f>
        <v>0.16869999999999999</v>
      </c>
      <c r="I7" s="41">
        <f t="shared" si="2"/>
        <v>0.21902619220309227</v>
      </c>
    </row>
    <row r="8" spans="2:11" x14ac:dyDescent="0.2">
      <c r="B8" s="6" t="s">
        <v>202</v>
      </c>
      <c r="C8" s="43">
        <f>'05_Markowitz'!D8</f>
        <v>0.11242894032052993</v>
      </c>
      <c r="D8" s="38">
        <f t="shared" si="0"/>
        <v>0.1993010496518608</v>
      </c>
      <c r="E8" s="38">
        <v>2.0124584703499027E-2</v>
      </c>
      <c r="F8" s="44">
        <f t="shared" si="1"/>
        <v>2.7756751852650193E-2</v>
      </c>
      <c r="G8" s="27">
        <v>0.1484279861138483</v>
      </c>
      <c r="H8" s="43">
        <f>'05_Markowitz'!F8</f>
        <v>0.14599999999999999</v>
      </c>
      <c r="I8" s="41">
        <f t="shared" si="2"/>
        <v>0.24279861138483128</v>
      </c>
    </row>
    <row r="9" spans="2:11" x14ac:dyDescent="0.2">
      <c r="B9" s="6" t="s">
        <v>108</v>
      </c>
      <c r="C9" s="43">
        <f>'05_Markowitz'!D9</f>
        <v>0.16986918901657652</v>
      </c>
      <c r="D9" s="38">
        <f t="shared" si="0"/>
        <v>0.13190859358810172</v>
      </c>
      <c r="E9" s="38">
        <v>1.4596381651466955E-2</v>
      </c>
      <c r="F9" s="44">
        <f t="shared" si="1"/>
        <v>1.438585086104107E-2</v>
      </c>
      <c r="G9" s="27">
        <v>6.5944584524457506E-2</v>
      </c>
      <c r="H9" s="43">
        <f>'05_Markowitz'!F9</f>
        <v>6.1100000000000002E-2</v>
      </c>
      <c r="I9" s="41">
        <f t="shared" si="2"/>
        <v>0.48445845244575042</v>
      </c>
    </row>
    <row r="10" spans="2:11" x14ac:dyDescent="0.2">
      <c r="B10" s="6" t="s">
        <v>96</v>
      </c>
      <c r="C10" s="43">
        <f>'05_Markowitz'!D10</f>
        <v>0.23760947303521818</v>
      </c>
      <c r="D10" s="38">
        <f t="shared" si="0"/>
        <v>9.4302661972600982E-2</v>
      </c>
      <c r="E10" s="38">
        <v>3.5400538460516884E-2</v>
      </c>
      <c r="F10" s="44">
        <f t="shared" si="1"/>
        <v>5.51618399921164E-2</v>
      </c>
      <c r="G10" s="27">
        <v>7.0231252602319993E-2</v>
      </c>
      <c r="H10" s="43">
        <f>'05_Markowitz'!F10</f>
        <v>7.0599999999999996E-2</v>
      </c>
      <c r="I10" s="41">
        <f t="shared" si="2"/>
        <v>-3.6874739768000264E-2</v>
      </c>
    </row>
    <row r="11" spans="2:11" x14ac:dyDescent="0.2">
      <c r="B11" s="6" t="s">
        <v>105</v>
      </c>
      <c r="C11" s="43">
        <f>'05_Markowitz'!D11</f>
        <v>0.11960374802846656</v>
      </c>
      <c r="D11" s="38">
        <f t="shared" si="0"/>
        <v>0.18734534817249163</v>
      </c>
      <c r="E11" s="38">
        <v>1.9946207696641724E-2</v>
      </c>
      <c r="F11" s="44">
        <f t="shared" si="1"/>
        <v>3.049315163563893E-2</v>
      </c>
      <c r="G11" s="27">
        <v>0.17181762331536821</v>
      </c>
      <c r="H11" s="43">
        <f>'05_Markowitz'!F11</f>
        <v>0.17460000000000001</v>
      </c>
      <c r="I11" s="41">
        <f t="shared" si="2"/>
        <v>-0.27823766846317988</v>
      </c>
    </row>
    <row r="13" spans="2:11" x14ac:dyDescent="0.2">
      <c r="B13" s="25" t="s">
        <v>220</v>
      </c>
    </row>
    <row r="14" spans="2:11" x14ac:dyDescent="0.2">
      <c r="B14" s="4" t="s">
        <v>221</v>
      </c>
      <c r="C14" s="4" t="s">
        <v>222</v>
      </c>
      <c r="D14" s="4" t="s">
        <v>118</v>
      </c>
      <c r="E14" s="4" t="s">
        <v>119</v>
      </c>
      <c r="F14" s="4" t="s">
        <v>120</v>
      </c>
      <c r="G14" s="4" t="s">
        <v>121</v>
      </c>
      <c r="H14" s="4" t="s">
        <v>122</v>
      </c>
      <c r="I14" s="4" t="s">
        <v>123</v>
      </c>
      <c r="J14" s="4" t="s">
        <v>223</v>
      </c>
      <c r="K14" s="4" t="s">
        <v>224</v>
      </c>
    </row>
    <row r="15" spans="2:11" x14ac:dyDescent="0.2">
      <c r="B15" s="6" t="s">
        <v>225</v>
      </c>
      <c r="C15" s="6" t="s">
        <v>226</v>
      </c>
      <c r="D15" s="17">
        <v>1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6">
        <v>0.06</v>
      </c>
      <c r="K15" s="15" t="s">
        <v>227</v>
      </c>
    </row>
    <row r="16" spans="2:11" x14ac:dyDescent="0.2">
      <c r="B16" s="6" t="s">
        <v>228</v>
      </c>
      <c r="C16" s="6" t="s">
        <v>229</v>
      </c>
      <c r="D16" s="17">
        <v>0</v>
      </c>
      <c r="E16" s="17">
        <v>0</v>
      </c>
      <c r="F16" s="17">
        <v>0</v>
      </c>
      <c r="G16" s="17">
        <v>-1</v>
      </c>
      <c r="H16" s="17">
        <v>0</v>
      </c>
      <c r="I16" s="17">
        <v>1</v>
      </c>
      <c r="J16" s="16">
        <v>0.02</v>
      </c>
      <c r="K16" s="15" t="s">
        <v>230</v>
      </c>
    </row>
    <row r="18" spans="2:8" x14ac:dyDescent="0.2">
      <c r="B18" s="6" t="s">
        <v>231</v>
      </c>
    </row>
    <row r="19" spans="2:8" x14ac:dyDescent="0.2">
      <c r="C19" s="45">
        <f t="array" ref="C19:H24">'01_Supuestos'!$D$30*'05_Markowitz'!$C$15:$H$20</f>
        <v>1.0096959828438405E-3</v>
      </c>
      <c r="D19" s="45">
        <v>9.7114736073674877E-5</v>
      </c>
      <c r="E19" s="45">
        <v>4.1316731722514441E-4</v>
      </c>
      <c r="F19" s="45">
        <v>1.4731003329468748E-4</v>
      </c>
      <c r="G19" s="45">
        <v>1.1089854456736183E-3</v>
      </c>
      <c r="H19" s="45">
        <v>5.4788622748564103E-4</v>
      </c>
    </row>
    <row r="20" spans="2:8" x14ac:dyDescent="0.2">
      <c r="C20" s="45">
        <v>9.7114736073674877E-5</v>
      </c>
      <c r="D20" s="45">
        <v>4.7678613953862353E-4</v>
      </c>
      <c r="E20" s="45">
        <v>4.4011974042526672E-4</v>
      </c>
      <c r="F20" s="45">
        <v>2.4564022677335996E-5</v>
      </c>
      <c r="G20" s="45">
        <v>1.1099748516029941E-4</v>
      </c>
      <c r="H20" s="45">
        <v>1.4046487920554892E-4</v>
      </c>
    </row>
    <row r="21" spans="2:8" x14ac:dyDescent="0.2">
      <c r="C21" s="45">
        <v>4.1316731722514441E-4</v>
      </c>
      <c r="D21" s="45">
        <v>4.4011974042526672E-4</v>
      </c>
      <c r="E21" s="45">
        <v>6.3201333107986346E-4</v>
      </c>
      <c r="F21" s="45">
        <v>6.5032260583725018E-5</v>
      </c>
      <c r="G21" s="45">
        <v>4.4500076740878309E-4</v>
      </c>
      <c r="H21" s="45">
        <v>3.194559140163078E-4</v>
      </c>
    </row>
    <row r="22" spans="2:8" x14ac:dyDescent="0.2">
      <c r="C22" s="45">
        <v>1.4731003329468748E-4</v>
      </c>
      <c r="D22" s="45">
        <v>2.4564022677335996E-5</v>
      </c>
      <c r="E22" s="45">
        <v>6.5032260583725018E-5</v>
      </c>
      <c r="F22" s="45">
        <v>1.4427770688574706E-3</v>
      </c>
      <c r="G22" s="45">
        <v>2.7383632401965921E-4</v>
      </c>
      <c r="H22" s="45">
        <v>1.8129111906832213E-4</v>
      </c>
    </row>
    <row r="23" spans="2:8" x14ac:dyDescent="0.2">
      <c r="C23" s="45">
        <v>1.1089854456736183E-3</v>
      </c>
      <c r="D23" s="45">
        <v>1.1099748516029941E-4</v>
      </c>
      <c r="E23" s="45">
        <v>4.4500076740878309E-4</v>
      </c>
      <c r="F23" s="45">
        <v>2.7383632401965921E-4</v>
      </c>
      <c r="G23" s="45">
        <v>2.8229130838037042E-3</v>
      </c>
      <c r="H23" s="45">
        <v>6.2268541224295461E-4</v>
      </c>
    </row>
    <row r="24" spans="2:8" x14ac:dyDescent="0.2">
      <c r="C24" s="45">
        <v>5.4788622748564103E-4</v>
      </c>
      <c r="D24" s="45">
        <v>1.4046487920554892E-4</v>
      </c>
      <c r="E24" s="45">
        <v>3.194559140163078E-4</v>
      </c>
      <c r="F24" s="45">
        <v>1.8129111906832213E-4</v>
      </c>
      <c r="G24" s="45">
        <v>6.2268541224295461E-4</v>
      </c>
      <c r="H24" s="45">
        <v>7.1525282712284536E-4</v>
      </c>
    </row>
    <row r="26" spans="2:8" x14ac:dyDescent="0.2">
      <c r="B26" s="6" t="s">
        <v>232</v>
      </c>
    </row>
    <row r="27" spans="2:8" x14ac:dyDescent="0.2">
      <c r="C27">
        <f t="array" ref="C27:D28">MMULT(D15:I16,MMULT(C19:H24,TRANSPOSE(D15:I16)))*{1,0;0,1}</f>
        <v>1.0096959828438405E-3</v>
      </c>
      <c r="D27">
        <v>0</v>
      </c>
    </row>
    <row r="28" spans="2:8" x14ac:dyDescent="0.2">
      <c r="C28">
        <v>0</v>
      </c>
      <c r="D28">
        <v>1.7954476578436718E-3</v>
      </c>
    </row>
    <row r="30" spans="2:8" x14ac:dyDescent="0.2">
      <c r="B30" s="6" t="s">
        <v>233</v>
      </c>
    </row>
    <row r="31" spans="2:8" x14ac:dyDescent="0.2">
      <c r="B31" t="s">
        <v>200</v>
      </c>
      <c r="C31" s="40">
        <f t="array" ref="C31:C36">MMULT(MINVERSE(MINVERSE(C19:H24)+MMULT(TRANSPOSE(D15:I16),MMULT(MINVERSE(C27:D28),D15:I16))),MMULT(MINVERSE(C19:H24),E6:E11)+MMULT(TRANSPOSE(D15:I16),MMULT(MINVERSE(C27:D28),J15:J16)))</f>
        <v>4.2696584694619677E-2</v>
      </c>
    </row>
    <row r="32" spans="2:8" x14ac:dyDescent="0.2">
      <c r="B32" t="s">
        <v>201</v>
      </c>
      <c r="C32" s="40">
        <v>1.4538400850554287E-2</v>
      </c>
    </row>
    <row r="33" spans="2:3" x14ac:dyDescent="0.2">
      <c r="B33" t="s">
        <v>202</v>
      </c>
      <c r="C33" s="40">
        <v>2.7756751852650193E-2</v>
      </c>
    </row>
    <row r="34" spans="2:3" x14ac:dyDescent="0.2">
      <c r="B34" t="s">
        <v>108</v>
      </c>
      <c r="C34" s="40">
        <v>1.438585086104107E-2</v>
      </c>
    </row>
    <row r="35" spans="2:3" x14ac:dyDescent="0.2">
      <c r="B35" t="s">
        <v>96</v>
      </c>
      <c r="C35" s="40">
        <v>5.51618399921164E-2</v>
      </c>
    </row>
    <row r="36" spans="2:3" x14ac:dyDescent="0.2">
      <c r="B36" t="s">
        <v>105</v>
      </c>
      <c r="C36" s="40">
        <v>3.049315163563893E-2</v>
      </c>
    </row>
    <row r="39" spans="2:3" x14ac:dyDescent="0.2">
      <c r="B39" s="25" t="s">
        <v>234</v>
      </c>
    </row>
    <row r="40" spans="2:3" x14ac:dyDescent="0.2">
      <c r="B40" s="6" t="s">
        <v>235</v>
      </c>
      <c r="C40" s="40">
        <f t="array" ref="C40">SUMPRODUCT(H6:H11,F6:F11)</f>
        <v>3.2780355601402418E-2</v>
      </c>
    </row>
    <row r="41" spans="2:3" x14ac:dyDescent="0.2">
      <c r="B41" s="6" t="s">
        <v>168</v>
      </c>
      <c r="C41" s="43">
        <f>'05_Markowitz'!C29</f>
        <v>9.9130185150212505E-2</v>
      </c>
    </row>
    <row r="42" spans="2:3" x14ac:dyDescent="0.2">
      <c r="B42" s="6" t="s">
        <v>236</v>
      </c>
      <c r="C42" s="41">
        <f>C40/C41</f>
        <v>0.33067985852876364</v>
      </c>
    </row>
    <row r="43" spans="2:3" x14ac:dyDescent="0.2">
      <c r="B43" s="6" t="s">
        <v>237</v>
      </c>
      <c r="C43" s="22">
        <f>SUM(H6:H8)</f>
        <v>0.69359999999999999</v>
      </c>
    </row>
    <row r="44" spans="2:3" x14ac:dyDescent="0.2">
      <c r="B44" s="6" t="s">
        <v>238</v>
      </c>
      <c r="C44" s="42" t="str">
        <f>IF(ABS(SUM(H6:H11)-1)&lt;0.0005,"OK","REVISAR")</f>
        <v>OK</v>
      </c>
    </row>
    <row r="46" spans="2:3" x14ac:dyDescent="0.2">
      <c r="B46" s="15" t="s">
        <v>239</v>
      </c>
    </row>
    <row r="48" spans="2:3" x14ac:dyDescent="0.2">
      <c r="B48" s="25" t="s">
        <v>240</v>
      </c>
    </row>
    <row r="49" spans="2:3" x14ac:dyDescent="0.2">
      <c r="B49" s="4" t="s">
        <v>156</v>
      </c>
      <c r="C49" s="4" t="s">
        <v>38</v>
      </c>
    </row>
    <row r="50" spans="2:3" x14ac:dyDescent="0.2">
      <c r="B50" s="26" t="s">
        <v>241</v>
      </c>
      <c r="C50" s="35">
        <v>6.6789022507229836</v>
      </c>
    </row>
    <row r="51" spans="2:3" x14ac:dyDescent="0.2">
      <c r="B51" s="26" t="s">
        <v>242</v>
      </c>
      <c r="C51" s="35">
        <v>3.3358139907403839</v>
      </c>
    </row>
    <row r="52" spans="2:3" x14ac:dyDescent="0.2">
      <c r="B52" s="26" t="s">
        <v>243</v>
      </c>
      <c r="C52" s="35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P37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44" customWidth="1"/>
    <col min="3" max="3" width="30" customWidth="1"/>
    <col min="4" max="4" width="44" customWidth="1"/>
    <col min="5" max="16" width="12" customWidth="1"/>
  </cols>
  <sheetData>
    <row r="2" spans="2:16" ht="18" x14ac:dyDescent="0.2">
      <c r="B2" s="1" t="s">
        <v>244</v>
      </c>
    </row>
    <row r="3" spans="2:16" x14ac:dyDescent="0.2">
      <c r="B3" s="2" t="s">
        <v>245</v>
      </c>
    </row>
    <row r="5" spans="2:16" x14ac:dyDescent="0.2">
      <c r="B5" s="4" t="s">
        <v>246</v>
      </c>
      <c r="C5" s="4" t="s">
        <v>247</v>
      </c>
      <c r="D5" s="4" t="s">
        <v>166</v>
      </c>
    </row>
    <row r="6" spans="2:16" x14ac:dyDescent="0.2">
      <c r="B6" s="6" t="s">
        <v>200</v>
      </c>
      <c r="C6" s="46">
        <v>0.37890000000000001</v>
      </c>
      <c r="D6" s="6" t="s">
        <v>200</v>
      </c>
    </row>
    <row r="7" spans="2:16" x14ac:dyDescent="0.2">
      <c r="B7" s="6" t="s">
        <v>201</v>
      </c>
      <c r="C7" s="46">
        <v>0.16869999999999999</v>
      </c>
      <c r="D7" s="6" t="s">
        <v>248</v>
      </c>
    </row>
    <row r="8" spans="2:16" x14ac:dyDescent="0.2">
      <c r="B8" s="6" t="s">
        <v>202</v>
      </c>
      <c r="C8" s="46">
        <v>0.14599999999999999</v>
      </c>
      <c r="D8" s="6" t="s">
        <v>249</v>
      </c>
    </row>
    <row r="9" spans="2:16" x14ac:dyDescent="0.2">
      <c r="B9" s="6" t="s">
        <v>108</v>
      </c>
      <c r="C9" s="46">
        <v>6.1100000000000002E-2</v>
      </c>
      <c r="D9" s="6" t="s">
        <v>250</v>
      </c>
    </row>
    <row r="10" spans="2:16" x14ac:dyDescent="0.2">
      <c r="B10" s="6" t="s">
        <v>96</v>
      </c>
      <c r="C10" s="46">
        <v>7.0599999999999996E-2</v>
      </c>
      <c r="D10" s="6" t="s">
        <v>251</v>
      </c>
    </row>
    <row r="11" spans="2:16" x14ac:dyDescent="0.2">
      <c r="B11" s="6" t="s">
        <v>105</v>
      </c>
      <c r="C11" s="46">
        <v>0.17460000000000001</v>
      </c>
      <c r="D11" s="6" t="s">
        <v>252</v>
      </c>
    </row>
    <row r="13" spans="2:16" x14ac:dyDescent="0.2">
      <c r="B13" s="25" t="s">
        <v>253</v>
      </c>
    </row>
    <row r="14" spans="2:16" ht="28" x14ac:dyDescent="0.2">
      <c r="B14" s="4" t="s">
        <v>254</v>
      </c>
      <c r="C14" s="4" t="s">
        <v>255</v>
      </c>
      <c r="D14" s="4" t="s">
        <v>167</v>
      </c>
      <c r="E14" s="4" t="s">
        <v>168</v>
      </c>
      <c r="F14" s="4" t="s">
        <v>169</v>
      </c>
      <c r="G14" s="4" t="s">
        <v>170</v>
      </c>
      <c r="H14" s="4" t="s">
        <v>256</v>
      </c>
      <c r="I14" s="4" t="s">
        <v>171</v>
      </c>
      <c r="J14" s="4" t="s">
        <v>172</v>
      </c>
      <c r="K14" s="4" t="s">
        <v>173</v>
      </c>
      <c r="L14" s="4" t="s">
        <v>257</v>
      </c>
      <c r="M14" s="4" t="s">
        <v>174</v>
      </c>
      <c r="N14" s="4" t="s">
        <v>175</v>
      </c>
      <c r="O14" s="4" t="s">
        <v>176</v>
      </c>
      <c r="P14" s="4" t="s">
        <v>177</v>
      </c>
    </row>
    <row r="15" spans="2:16" x14ac:dyDescent="0.2">
      <c r="B15" s="26" t="s">
        <v>258</v>
      </c>
      <c r="C15" s="26" t="s">
        <v>259</v>
      </c>
      <c r="D15" s="27">
        <v>9.9022250785216759E-2</v>
      </c>
      <c r="E15" s="27">
        <v>0.1064413910648502</v>
      </c>
      <c r="F15" s="35">
        <v>0.74499516725357118</v>
      </c>
      <c r="G15" s="35">
        <v>0.63745823214894259</v>
      </c>
      <c r="H15" s="35">
        <v>0.12274211214697429</v>
      </c>
      <c r="I15" s="35">
        <v>0.64605635793611904</v>
      </c>
      <c r="J15" s="27">
        <v>-5.6747360793584596E-3</v>
      </c>
      <c r="K15" s="27">
        <v>-0.20475279809972571</v>
      </c>
      <c r="L15" s="35">
        <v>0.48361854736162169</v>
      </c>
      <c r="M15" s="27">
        <v>4.5968016545283152E-2</v>
      </c>
      <c r="N15" s="27">
        <v>6.2017675554108087E-2</v>
      </c>
      <c r="O15" s="27">
        <v>2.0174150134109739E-2</v>
      </c>
      <c r="P15" s="35">
        <v>0.18372657514575669</v>
      </c>
    </row>
    <row r="16" spans="2:16" x14ac:dyDescent="0.2">
      <c r="B16" s="26" t="s">
        <v>258</v>
      </c>
      <c r="C16" s="26" t="s">
        <v>260</v>
      </c>
      <c r="D16" s="27">
        <v>9.4618530441715754E-2</v>
      </c>
      <c r="E16" s="27">
        <v>0.109563056609669</v>
      </c>
      <c r="F16" s="35">
        <v>0.68993871444960719</v>
      </c>
      <c r="G16" s="35">
        <v>0.59463869798909541</v>
      </c>
      <c r="H16" s="35">
        <v>0.1113057484709373</v>
      </c>
      <c r="I16" s="35">
        <v>0.67913648186986653</v>
      </c>
      <c r="J16" s="27">
        <v>-1.373215226361699E-2</v>
      </c>
      <c r="K16" s="27">
        <v>-0.2139947803662722</v>
      </c>
      <c r="L16" s="35">
        <v>0.44215345009708762</v>
      </c>
      <c r="M16" s="27">
        <v>4.4100111385055388E-2</v>
      </c>
      <c r="N16" s="27">
        <v>6.4965792811595646E-2</v>
      </c>
      <c r="O16" s="27">
        <v>0</v>
      </c>
      <c r="P16" s="35"/>
    </row>
    <row r="17" spans="2:16" x14ac:dyDescent="0.2">
      <c r="B17" s="26" t="s">
        <v>258</v>
      </c>
      <c r="C17" s="26" t="s">
        <v>261</v>
      </c>
      <c r="D17" s="27">
        <v>0.1265263686562654</v>
      </c>
      <c r="E17" s="27">
        <v>0.12919085206850711</v>
      </c>
      <c r="F17" s="35">
        <v>0.82747817091624942</v>
      </c>
      <c r="G17" s="35">
        <v>0.72856853720826742</v>
      </c>
      <c r="H17" s="35">
        <v>0.125270373768744</v>
      </c>
      <c r="I17" s="35">
        <v>0.85337503794878211</v>
      </c>
      <c r="J17" s="27">
        <v>-5.3381964567727688E-3</v>
      </c>
      <c r="K17" s="27">
        <v>-0.22646998716326319</v>
      </c>
      <c r="L17" s="35">
        <v>0.55868934440770746</v>
      </c>
      <c r="M17" s="27">
        <v>5.6869857948580703E-2</v>
      </c>
      <c r="N17" s="27">
        <v>7.7159604666999018E-2</v>
      </c>
      <c r="O17" s="27">
        <v>4.1648907704884573E-2</v>
      </c>
      <c r="P17" s="35">
        <v>0.75177999293948639</v>
      </c>
    </row>
    <row r="18" spans="2:16" x14ac:dyDescent="0.2">
      <c r="B18" s="26" t="s">
        <v>258</v>
      </c>
      <c r="C18" s="26" t="s">
        <v>200</v>
      </c>
      <c r="D18" s="27">
        <v>0.15086163432415531</v>
      </c>
      <c r="E18" s="27">
        <v>0.15089978649924879</v>
      </c>
      <c r="F18" s="35">
        <v>0.87161002726051218</v>
      </c>
      <c r="G18" s="35">
        <v>0.78082749497529669</v>
      </c>
      <c r="H18" s="35">
        <v>0.13152576702421581</v>
      </c>
      <c r="I18" s="35">
        <v>1</v>
      </c>
      <c r="J18" s="27">
        <v>0</v>
      </c>
      <c r="K18" s="27">
        <v>-0.23927184023145631</v>
      </c>
      <c r="L18" s="35">
        <v>0.63050308878061634</v>
      </c>
      <c r="M18" s="27">
        <v>6.7237757580873483E-2</v>
      </c>
      <c r="N18" s="27">
        <v>8.9123577736329992E-2</v>
      </c>
      <c r="O18" s="27">
        <v>6.2015488979219657E-2</v>
      </c>
      <c r="P18" s="35">
        <v>0.90193552476081684</v>
      </c>
    </row>
    <row r="19" spans="2:16" x14ac:dyDescent="0.2">
      <c r="B19" s="26" t="s">
        <v>262</v>
      </c>
      <c r="C19" s="26" t="s">
        <v>259</v>
      </c>
      <c r="D19" s="27">
        <v>9.9933608850413025E-2</v>
      </c>
      <c r="E19" s="27">
        <v>9.9130185150212505E-2</v>
      </c>
      <c r="F19" s="35">
        <v>0.84976461038245288</v>
      </c>
      <c r="G19" s="35">
        <v>0.74590419753084758</v>
      </c>
      <c r="H19" s="35">
        <v>0.13243443308445579</v>
      </c>
      <c r="I19" s="35">
        <v>0.63606813726148603</v>
      </c>
      <c r="J19" s="27">
        <v>-1.551231754678199E-3</v>
      </c>
      <c r="K19" s="27">
        <v>-0.20475279809972591</v>
      </c>
      <c r="L19" s="35">
        <v>0.48806956377582611</v>
      </c>
      <c r="M19" s="27">
        <v>4.08643592652174E-2</v>
      </c>
      <c r="N19" s="27">
        <v>5.7370065418066871E-2</v>
      </c>
      <c r="O19" s="27"/>
      <c r="P19" s="35"/>
    </row>
    <row r="20" spans="2:16" x14ac:dyDescent="0.2">
      <c r="B20" s="26" t="s">
        <v>262</v>
      </c>
      <c r="C20" s="26" t="s">
        <v>261</v>
      </c>
      <c r="D20" s="27">
        <v>0.1220358386781133</v>
      </c>
      <c r="E20" s="27">
        <v>0.1232665583179495</v>
      </c>
      <c r="F20" s="35">
        <v>0.86266987717480836</v>
      </c>
      <c r="G20" s="35">
        <v>0.78296917600845251</v>
      </c>
      <c r="H20" s="35">
        <v>0.1246221305570584</v>
      </c>
      <c r="I20" s="35">
        <v>0.85328622010052813</v>
      </c>
      <c r="J20" s="27">
        <v>-4.5878482473217658E-3</v>
      </c>
      <c r="K20" s="27">
        <v>-0.2264699871632635</v>
      </c>
      <c r="L20" s="35">
        <v>0.53886097759230656</v>
      </c>
      <c r="M20" s="27">
        <v>5.1129667372668351E-2</v>
      </c>
      <c r="N20" s="27">
        <v>7.4228782408593472E-2</v>
      </c>
      <c r="O20" s="27"/>
      <c r="P20" s="35"/>
    </row>
    <row r="21" spans="2:16" x14ac:dyDescent="0.2">
      <c r="B21" s="26" t="s">
        <v>262</v>
      </c>
      <c r="C21" s="26" t="s">
        <v>200</v>
      </c>
      <c r="D21" s="27">
        <v>0.1506097499652157</v>
      </c>
      <c r="E21" s="27">
        <v>0.14210531185313521</v>
      </c>
      <c r="F21" s="35">
        <v>0.94910748717559623</v>
      </c>
      <c r="G21" s="35">
        <v>0.87148107817193599</v>
      </c>
      <c r="H21" s="35">
        <v>0.13487321544723349</v>
      </c>
      <c r="I21" s="35">
        <v>1</v>
      </c>
      <c r="J21" s="27">
        <v>-2.0816681711721691E-17</v>
      </c>
      <c r="K21" s="27">
        <v>-0.23927184023145601</v>
      </c>
      <c r="L21" s="35">
        <v>0.62945037669090376</v>
      </c>
      <c r="M21" s="27">
        <v>6.0451936690716891E-2</v>
      </c>
      <c r="N21" s="27">
        <v>8.3176312097958061E-2</v>
      </c>
      <c r="O21" s="27"/>
      <c r="P21" s="35"/>
    </row>
    <row r="24" spans="2:16" x14ac:dyDescent="0.2">
      <c r="B24" s="25" t="s">
        <v>263</v>
      </c>
    </row>
    <row r="25" spans="2:16" x14ac:dyDescent="0.2">
      <c r="B25" s="4" t="s">
        <v>156</v>
      </c>
      <c r="C25" s="4" t="s">
        <v>38</v>
      </c>
    </row>
    <row r="26" spans="2:16" x14ac:dyDescent="0.2">
      <c r="B26" s="26" t="s">
        <v>264</v>
      </c>
      <c r="C26" s="27">
        <v>2.0174150134109739E-2</v>
      </c>
    </row>
    <row r="27" spans="2:16" x14ac:dyDescent="0.2">
      <c r="B27" s="26" t="s">
        <v>265</v>
      </c>
      <c r="C27" s="27">
        <v>2.419747732560756E-2</v>
      </c>
    </row>
    <row r="28" spans="2:16" x14ac:dyDescent="0.2">
      <c r="B28" s="26" t="s">
        <v>83</v>
      </c>
      <c r="C28" s="27">
        <v>1.4999999999999999E-2</v>
      </c>
    </row>
    <row r="29" spans="2:16" x14ac:dyDescent="0.2">
      <c r="B29" s="26" t="s">
        <v>85</v>
      </c>
      <c r="C29" s="27">
        <v>0.5</v>
      </c>
    </row>
    <row r="30" spans="2:16" x14ac:dyDescent="0.2">
      <c r="B30" s="26" t="s">
        <v>87</v>
      </c>
      <c r="C30" s="27">
        <v>0.03</v>
      </c>
    </row>
    <row r="31" spans="2:16" x14ac:dyDescent="0.2">
      <c r="B31" s="26" t="s">
        <v>266</v>
      </c>
      <c r="C31" s="27">
        <v>0.04</v>
      </c>
    </row>
    <row r="32" spans="2:16" x14ac:dyDescent="0.2">
      <c r="B32" s="26" t="s">
        <v>267</v>
      </c>
      <c r="C32" s="27">
        <v>0</v>
      </c>
    </row>
    <row r="33" spans="2:3" x14ac:dyDescent="0.2">
      <c r="B33" s="26" t="s">
        <v>268</v>
      </c>
      <c r="C33" s="27">
        <v>0</v>
      </c>
    </row>
    <row r="34" spans="2:3" x14ac:dyDescent="0.2">
      <c r="B34" s="26" t="s">
        <v>269</v>
      </c>
      <c r="C34" s="27">
        <v>0</v>
      </c>
    </row>
    <row r="35" spans="2:3" x14ac:dyDescent="0.2">
      <c r="B35" s="26" t="s">
        <v>270</v>
      </c>
      <c r="C35" s="27">
        <v>0.17516200585592129</v>
      </c>
    </row>
    <row r="36" spans="2:3" x14ac:dyDescent="0.2">
      <c r="B36" s="26" t="s">
        <v>271</v>
      </c>
      <c r="C36" s="27">
        <v>0.1897073484073088</v>
      </c>
    </row>
    <row r="37" spans="2:3" x14ac:dyDescent="0.2">
      <c r="B37" s="26" t="s">
        <v>272</v>
      </c>
      <c r="C37" s="27">
        <v>4.4320618292240009E-2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Q21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4" customWidth="1"/>
    <col min="3" max="3" width="22" customWidth="1"/>
    <col min="4" max="4" width="9" customWidth="1"/>
    <col min="5" max="19" width="13" customWidth="1"/>
  </cols>
  <sheetData>
    <row r="2" spans="2:17" ht="18" x14ac:dyDescent="0.2">
      <c r="B2" s="1" t="s">
        <v>273</v>
      </c>
    </row>
    <row r="3" spans="2:17" x14ac:dyDescent="0.2">
      <c r="B3" s="2" t="s">
        <v>274</v>
      </c>
    </row>
    <row r="5" spans="2:17" ht="28" x14ac:dyDescent="0.2">
      <c r="B5" s="4" t="s">
        <v>103</v>
      </c>
      <c r="C5" s="4" t="s">
        <v>131</v>
      </c>
      <c r="D5" s="4" t="s">
        <v>275</v>
      </c>
      <c r="E5" s="4" t="s">
        <v>276</v>
      </c>
      <c r="F5" s="4" t="s">
        <v>277</v>
      </c>
      <c r="G5" s="4" t="s">
        <v>278</v>
      </c>
      <c r="H5" s="4" t="s">
        <v>279</v>
      </c>
      <c r="I5" s="4" t="s">
        <v>280</v>
      </c>
      <c r="J5" s="4" t="s">
        <v>281</v>
      </c>
      <c r="K5" s="4" t="s">
        <v>282</v>
      </c>
      <c r="L5" s="4" t="s">
        <v>283</v>
      </c>
      <c r="M5" s="4" t="s">
        <v>284</v>
      </c>
      <c r="N5" s="4" t="s">
        <v>285</v>
      </c>
      <c r="O5" s="4" t="s">
        <v>286</v>
      </c>
      <c r="P5" s="4" t="s">
        <v>287</v>
      </c>
      <c r="Q5" s="4" t="s">
        <v>288</v>
      </c>
    </row>
    <row r="6" spans="2:17" x14ac:dyDescent="0.2">
      <c r="B6" s="26" t="s">
        <v>289</v>
      </c>
      <c r="C6" s="26" t="s">
        <v>290</v>
      </c>
      <c r="D6" s="26" t="s">
        <v>291</v>
      </c>
      <c r="E6" s="47">
        <v>7.8368404371000455E-2</v>
      </c>
      <c r="F6" s="47">
        <v>1</v>
      </c>
      <c r="G6" s="47">
        <v>0.98134999999999994</v>
      </c>
      <c r="H6" s="47">
        <v>0.95955000000000001</v>
      </c>
      <c r="I6" s="47">
        <v>0.95955000000000001</v>
      </c>
      <c r="J6" s="32">
        <v>707660.27605145529</v>
      </c>
      <c r="K6" s="32">
        <v>1320710.070178245</v>
      </c>
      <c r="L6" s="32">
        <v>2423866.0635540918</v>
      </c>
      <c r="M6" s="32">
        <v>1311231.8202823671</v>
      </c>
      <c r="N6" s="32">
        <v>5448079.025805857</v>
      </c>
      <c r="O6" s="47">
        <v>-0.24062233506065539</v>
      </c>
      <c r="P6" s="47">
        <v>-0.36194798736869083</v>
      </c>
      <c r="Q6" s="26" t="s">
        <v>157</v>
      </c>
    </row>
    <row r="7" spans="2:17" x14ac:dyDescent="0.2">
      <c r="B7" s="26" t="s">
        <v>289</v>
      </c>
      <c r="C7" s="26" t="s">
        <v>290</v>
      </c>
      <c r="D7" s="26" t="s">
        <v>158</v>
      </c>
      <c r="E7" s="47">
        <v>7.8368404371000455E-2</v>
      </c>
      <c r="F7" s="47">
        <v>1</v>
      </c>
      <c r="G7" s="47">
        <v>0.91949999999999998</v>
      </c>
      <c r="H7" s="47">
        <v>0.89644999999999997</v>
      </c>
      <c r="I7" s="47">
        <v>0.89644999999999997</v>
      </c>
      <c r="J7" s="32">
        <v>11511.06466817651</v>
      </c>
      <c r="K7" s="32">
        <v>29755.27309501321</v>
      </c>
      <c r="L7" s="32">
        <v>69572.010193036665</v>
      </c>
      <c r="M7" s="32">
        <v>5546.0557655543034</v>
      </c>
      <c r="N7" s="32">
        <v>119629.0907291305</v>
      </c>
      <c r="O7" s="47">
        <v>-0.24062233506065539</v>
      </c>
      <c r="P7" s="47">
        <v>-0.36194798736869083</v>
      </c>
      <c r="Q7" s="26" t="s">
        <v>158</v>
      </c>
    </row>
    <row r="8" spans="2:17" x14ac:dyDescent="0.2">
      <c r="B8" s="26" t="s">
        <v>289</v>
      </c>
      <c r="C8" s="26" t="s">
        <v>292</v>
      </c>
      <c r="D8" s="26" t="s">
        <v>291</v>
      </c>
      <c r="E8" s="47">
        <v>4.5786922986983607E-2</v>
      </c>
      <c r="F8" s="47">
        <v>1</v>
      </c>
      <c r="G8" s="47">
        <v>0.71299999999999997</v>
      </c>
      <c r="H8" s="47">
        <v>0.46529999999999999</v>
      </c>
      <c r="I8" s="47">
        <v>0.46529999999999999</v>
      </c>
      <c r="J8" s="32">
        <v>324301.03100004949</v>
      </c>
      <c r="K8" s="32">
        <v>617754.26608480699</v>
      </c>
      <c r="L8" s="32">
        <v>1148464.697207463</v>
      </c>
      <c r="M8" s="32">
        <v>0</v>
      </c>
      <c r="N8" s="32">
        <v>414317.88061139139</v>
      </c>
      <c r="O8" s="47">
        <v>-0.30455108566934141</v>
      </c>
      <c r="P8" s="47">
        <v>-0.46649885395855339</v>
      </c>
      <c r="Q8" s="26" t="s">
        <v>157</v>
      </c>
    </row>
    <row r="9" spans="2:17" x14ac:dyDescent="0.2">
      <c r="B9" s="26" t="s">
        <v>289</v>
      </c>
      <c r="C9" s="26" t="s">
        <v>292</v>
      </c>
      <c r="D9" s="26" t="s">
        <v>158</v>
      </c>
      <c r="E9" s="47">
        <v>4.5786922986983607E-2</v>
      </c>
      <c r="F9" s="47">
        <v>0.999</v>
      </c>
      <c r="G9" s="47">
        <v>0.64510000000000001</v>
      </c>
      <c r="H9" s="47">
        <v>0.45340000000000003</v>
      </c>
      <c r="I9" s="47">
        <v>0.45340000000000003</v>
      </c>
      <c r="J9" s="32">
        <v>4786.9797553334474</v>
      </c>
      <c r="K9" s="32">
        <v>13913.696402725969</v>
      </c>
      <c r="L9" s="32">
        <v>34053.498353341827</v>
      </c>
      <c r="M9" s="32">
        <v>0</v>
      </c>
      <c r="N9" s="32">
        <v>9146.1088127118928</v>
      </c>
      <c r="O9" s="47">
        <v>-0.30455108566934141</v>
      </c>
      <c r="P9" s="47">
        <v>-0.46649885395855339</v>
      </c>
      <c r="Q9" s="26" t="s">
        <v>158</v>
      </c>
    </row>
    <row r="10" spans="2:17" x14ac:dyDescent="0.2">
      <c r="B10" s="26" t="s">
        <v>293</v>
      </c>
      <c r="C10" s="26" t="s">
        <v>290</v>
      </c>
      <c r="D10" s="26" t="s">
        <v>291</v>
      </c>
      <c r="E10" s="47">
        <v>0.10003513595893419</v>
      </c>
      <c r="F10" s="47">
        <v>1</v>
      </c>
      <c r="G10" s="47">
        <v>0.99285000000000001</v>
      </c>
      <c r="H10" s="47">
        <v>0.98809999999999998</v>
      </c>
      <c r="I10" s="47">
        <v>0.98809999999999998</v>
      </c>
      <c r="J10" s="32">
        <v>985598.07851060154</v>
      </c>
      <c r="K10" s="32">
        <v>2128040.078588705</v>
      </c>
      <c r="L10" s="32">
        <v>4548107.203573673</v>
      </c>
      <c r="M10" s="32">
        <v>4327838.052810505</v>
      </c>
      <c r="N10" s="32">
        <v>17614178.04023492</v>
      </c>
      <c r="O10" s="47">
        <v>-0.28654946095590711</v>
      </c>
      <c r="P10" s="47">
        <v>-0.4229171876989673</v>
      </c>
      <c r="Q10" s="26" t="s">
        <v>157</v>
      </c>
    </row>
    <row r="11" spans="2:17" x14ac:dyDescent="0.2">
      <c r="B11" s="26" t="s">
        <v>293</v>
      </c>
      <c r="C11" s="26" t="s">
        <v>290</v>
      </c>
      <c r="D11" s="26" t="s">
        <v>158</v>
      </c>
      <c r="E11" s="47">
        <v>0.10003513595893419</v>
      </c>
      <c r="F11" s="47">
        <v>0.99995000000000001</v>
      </c>
      <c r="G11" s="47">
        <v>0.96950000000000003</v>
      </c>
      <c r="H11" s="47">
        <v>0.96355000000000002</v>
      </c>
      <c r="I11" s="47">
        <v>0.96355000000000002</v>
      </c>
      <c r="J11" s="32">
        <v>17134.39488097034</v>
      </c>
      <c r="K11" s="32">
        <v>44864.003683079172</v>
      </c>
      <c r="L11" s="32">
        <v>110168.8497949664</v>
      </c>
      <c r="M11" s="32">
        <v>51794.512852515218</v>
      </c>
      <c r="N11" s="32">
        <v>338927.80074492359</v>
      </c>
      <c r="O11" s="47">
        <v>-0.28654946095590711</v>
      </c>
      <c r="P11" s="47">
        <v>-0.4229171876989673</v>
      </c>
      <c r="Q11" s="26" t="s">
        <v>158</v>
      </c>
    </row>
    <row r="12" spans="2:17" x14ac:dyDescent="0.2">
      <c r="B12" s="26" t="s">
        <v>293</v>
      </c>
      <c r="C12" s="26" t="s">
        <v>292</v>
      </c>
      <c r="D12" s="26" t="s">
        <v>291</v>
      </c>
      <c r="E12" s="47">
        <v>4.3773078585227942E-2</v>
      </c>
      <c r="F12" s="47">
        <v>1</v>
      </c>
      <c r="G12" s="47">
        <v>0.63580000000000003</v>
      </c>
      <c r="H12" s="47">
        <v>0.42409999999999998</v>
      </c>
      <c r="I12" s="47">
        <v>0.42409999999999998</v>
      </c>
      <c r="J12" s="32">
        <v>257809.54407124149</v>
      </c>
      <c r="K12" s="32">
        <v>585445.84447699506</v>
      </c>
      <c r="L12" s="32">
        <v>1276154.7741762621</v>
      </c>
      <c r="M12" s="32">
        <v>0</v>
      </c>
      <c r="N12" s="32">
        <v>290421.97347554541</v>
      </c>
      <c r="O12" s="47">
        <v>-0.39765385285037019</v>
      </c>
      <c r="P12" s="47">
        <v>-0.59753696749611229</v>
      </c>
      <c r="Q12" s="26" t="s">
        <v>157</v>
      </c>
    </row>
    <row r="13" spans="2:17" x14ac:dyDescent="0.2">
      <c r="B13" s="26" t="s">
        <v>293</v>
      </c>
      <c r="C13" s="26" t="s">
        <v>292</v>
      </c>
      <c r="D13" s="26" t="s">
        <v>158</v>
      </c>
      <c r="E13" s="47">
        <v>4.3773078585227942E-2</v>
      </c>
      <c r="F13" s="47">
        <v>0.99639999999999995</v>
      </c>
      <c r="G13" s="47">
        <v>0.57220000000000004</v>
      </c>
      <c r="H13" s="47">
        <v>0.3836</v>
      </c>
      <c r="I13" s="47">
        <v>0.3836</v>
      </c>
      <c r="J13" s="32">
        <v>3870.135257828575</v>
      </c>
      <c r="K13" s="32">
        <v>12262.797257523071</v>
      </c>
      <c r="L13" s="32">
        <v>32293.04431924006</v>
      </c>
      <c r="M13" s="32">
        <v>0</v>
      </c>
      <c r="N13" s="32">
        <v>3866.547472223303</v>
      </c>
      <c r="O13" s="47">
        <v>-0.39765385285037019</v>
      </c>
      <c r="P13" s="47">
        <v>-0.59753696749611229</v>
      </c>
      <c r="Q13" s="26" t="s">
        <v>158</v>
      </c>
    </row>
    <row r="16" spans="2:17" x14ac:dyDescent="0.2">
      <c r="B16" s="25" t="s">
        <v>294</v>
      </c>
    </row>
    <row r="17" spans="2:6" ht="42" x14ac:dyDescent="0.2">
      <c r="B17" s="4" t="s">
        <v>295</v>
      </c>
      <c r="C17" s="4" t="s">
        <v>277</v>
      </c>
      <c r="D17" s="4" t="s">
        <v>278</v>
      </c>
      <c r="E17" s="4" t="s">
        <v>279</v>
      </c>
      <c r="F17" s="4" t="s">
        <v>280</v>
      </c>
    </row>
    <row r="18" spans="2:6" x14ac:dyDescent="0.2">
      <c r="B18" s="26" t="s">
        <v>296</v>
      </c>
      <c r="C18" s="47">
        <v>1</v>
      </c>
      <c r="D18" s="47">
        <v>0.71299999999999997</v>
      </c>
      <c r="E18" s="47">
        <v>0.46529999999999999</v>
      </c>
      <c r="F18" s="47">
        <v>0.46529999999999999</v>
      </c>
    </row>
    <row r="19" spans="2:6" x14ac:dyDescent="0.2">
      <c r="B19" s="26" t="s">
        <v>297</v>
      </c>
      <c r="C19" s="47">
        <v>1</v>
      </c>
      <c r="D19" s="47">
        <v>0.71299999999999997</v>
      </c>
      <c r="E19" s="47">
        <v>0.57620000000000005</v>
      </c>
      <c r="F19" s="47">
        <v>0.57620000000000005</v>
      </c>
    </row>
    <row r="20" spans="2:6" x14ac:dyDescent="0.2">
      <c r="B20" s="26" t="s">
        <v>298</v>
      </c>
      <c r="C20" s="47">
        <v>1</v>
      </c>
      <c r="D20" s="47">
        <v>0.86980000000000002</v>
      </c>
      <c r="E20" s="47">
        <v>0.62109999999999999</v>
      </c>
      <c r="F20" s="47">
        <v>0.62109999999999999</v>
      </c>
    </row>
    <row r="21" spans="2:6" x14ac:dyDescent="0.2">
      <c r="B21" s="26" t="s">
        <v>299</v>
      </c>
      <c r="C21" s="47">
        <v>1</v>
      </c>
      <c r="D21" s="47">
        <v>0.86980000000000002</v>
      </c>
      <c r="E21" s="47">
        <v>0.74829999999999997</v>
      </c>
      <c r="F21" s="47">
        <v>0.74829999999999997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O50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46" customWidth="1"/>
    <col min="3" max="3" width="40" customWidth="1"/>
    <col min="4" max="19" width="12" customWidth="1"/>
  </cols>
  <sheetData>
    <row r="2" spans="2:15" ht="18" x14ac:dyDescent="0.2">
      <c r="B2" s="1" t="s">
        <v>300</v>
      </c>
    </row>
    <row r="5" spans="2:15" x14ac:dyDescent="0.2">
      <c r="B5" s="25" t="s">
        <v>301</v>
      </c>
    </row>
    <row r="6" spans="2:15" ht="56" x14ac:dyDescent="0.2">
      <c r="B6" s="4" t="s">
        <v>302</v>
      </c>
      <c r="C6" s="4" t="s">
        <v>303</v>
      </c>
      <c r="D6" s="4" t="s">
        <v>304</v>
      </c>
      <c r="E6" s="4" t="s">
        <v>305</v>
      </c>
      <c r="F6" s="4" t="s">
        <v>306</v>
      </c>
      <c r="G6" s="4" t="s">
        <v>307</v>
      </c>
      <c r="H6" s="4" t="s">
        <v>308</v>
      </c>
      <c r="I6" s="4" t="s">
        <v>309</v>
      </c>
      <c r="J6" s="4" t="s">
        <v>310</v>
      </c>
      <c r="K6" s="4" t="s">
        <v>311</v>
      </c>
      <c r="L6" s="4" t="s">
        <v>312</v>
      </c>
      <c r="M6" s="4" t="s">
        <v>313</v>
      </c>
      <c r="N6" s="4" t="s">
        <v>314</v>
      </c>
      <c r="O6" s="4" t="s">
        <v>315</v>
      </c>
    </row>
    <row r="7" spans="2:15" x14ac:dyDescent="0.2">
      <c r="B7" s="26" t="s">
        <v>316</v>
      </c>
      <c r="C7" s="31">
        <v>162</v>
      </c>
      <c r="D7" s="27">
        <v>0.16524061324002531</v>
      </c>
      <c r="E7" s="27">
        <v>0.11002152518012639</v>
      </c>
      <c r="F7" s="27">
        <v>8.4596726153703283E-2</v>
      </c>
      <c r="G7" s="27">
        <v>0.1023029469617083</v>
      </c>
      <c r="H7" s="35">
        <v>0.87628939804736938</v>
      </c>
      <c r="I7" s="27">
        <v>-0.2040169738076463</v>
      </c>
      <c r="J7" s="27">
        <v>0.3788924279689041</v>
      </c>
      <c r="K7" s="27">
        <v>0.16874764189386429</v>
      </c>
      <c r="L7" s="27">
        <v>0.1460277079792297</v>
      </c>
      <c r="M7" s="27">
        <v>6.1148178883804492E-2</v>
      </c>
      <c r="N7" s="27">
        <v>7.0596108409881272E-2</v>
      </c>
      <c r="O7" s="27">
        <v>0.17458793486431609</v>
      </c>
    </row>
    <row r="8" spans="2:15" x14ac:dyDescent="0.2">
      <c r="B8" s="26" t="s">
        <v>317</v>
      </c>
      <c r="C8" s="31">
        <v>164</v>
      </c>
      <c r="D8" s="27">
        <v>0.15617751252870729</v>
      </c>
      <c r="E8" s="27">
        <v>0.1071607336590132</v>
      </c>
      <c r="F8" s="27">
        <v>7.9459140073918411E-2</v>
      </c>
      <c r="G8" s="27">
        <v>9.9495537833868886E-2</v>
      </c>
      <c r="H8" s="35">
        <v>0.84711620704730339</v>
      </c>
      <c r="I8" s="27">
        <v>-0.2040169738076463</v>
      </c>
      <c r="J8" s="27">
        <v>0.37253155984574599</v>
      </c>
      <c r="K8" s="27">
        <v>0.17067693791830399</v>
      </c>
      <c r="L8" s="27">
        <v>0.14824282963672991</v>
      </c>
      <c r="M8" s="27">
        <v>6.4850585402423375E-2</v>
      </c>
      <c r="N8" s="27">
        <v>7.1083128543042134E-2</v>
      </c>
      <c r="O8" s="27">
        <v>0.17261495865375451</v>
      </c>
    </row>
    <row r="9" spans="2:15" x14ac:dyDescent="0.2">
      <c r="B9" s="26" t="s">
        <v>318</v>
      </c>
      <c r="C9" s="31">
        <v>164</v>
      </c>
      <c r="D9" s="27">
        <v>0.16184387692290139</v>
      </c>
      <c r="E9" s="27">
        <v>0.1071607336590132</v>
      </c>
      <c r="F9" s="27">
        <v>7.9459140073918411E-2</v>
      </c>
      <c r="G9" s="27">
        <v>9.9933608850413025E-2</v>
      </c>
      <c r="H9" s="35">
        <v>0.84976461038245288</v>
      </c>
      <c r="I9" s="27">
        <v>-0.20475279809972591</v>
      </c>
      <c r="J9" s="27">
        <v>0.37268829152197508</v>
      </c>
      <c r="K9" s="27">
        <v>0.17089026192203091</v>
      </c>
      <c r="L9" s="27">
        <v>0.1484279861138483</v>
      </c>
      <c r="M9" s="27">
        <v>6.5944584524457506E-2</v>
      </c>
      <c r="N9" s="27">
        <v>7.0231252602319993E-2</v>
      </c>
      <c r="O9" s="27">
        <v>0.17181762331536821</v>
      </c>
    </row>
    <row r="10" spans="2:15" x14ac:dyDescent="0.2">
      <c r="B10" s="26" t="s">
        <v>319</v>
      </c>
      <c r="C10" s="31">
        <v>164</v>
      </c>
      <c r="D10" s="27">
        <v>0.15582620960744009</v>
      </c>
      <c r="E10" s="27">
        <v>0.1047232677923378</v>
      </c>
      <c r="F10" s="27">
        <v>7.6596543349758628E-2</v>
      </c>
      <c r="G10" s="27">
        <v>9.8927483309640074E-2</v>
      </c>
      <c r="H10" s="35">
        <v>0.84051844621359373</v>
      </c>
      <c r="I10" s="27">
        <v>-0.20535451904065519</v>
      </c>
      <c r="J10" s="27">
        <v>0.37267494374661891</v>
      </c>
      <c r="K10" s="27">
        <v>0.170880878036065</v>
      </c>
      <c r="L10" s="27">
        <v>0.14841990457833901</v>
      </c>
      <c r="M10" s="27">
        <v>6.5826927079353129E-2</v>
      </c>
      <c r="N10" s="27">
        <v>7.0249751789765932E-2</v>
      </c>
      <c r="O10" s="27">
        <v>0.17194759476985799</v>
      </c>
    </row>
    <row r="12" spans="2:15" x14ac:dyDescent="0.2">
      <c r="B12" s="25" t="s">
        <v>320</v>
      </c>
    </row>
    <row r="13" spans="2:15" ht="28" x14ac:dyDescent="0.2">
      <c r="B13" s="4" t="s">
        <v>93</v>
      </c>
      <c r="C13" s="4" t="s">
        <v>321</v>
      </c>
      <c r="D13" s="4" t="s">
        <v>167</v>
      </c>
      <c r="E13" s="4" t="s">
        <v>168</v>
      </c>
      <c r="F13" s="4" t="s">
        <v>169</v>
      </c>
      <c r="G13" s="4" t="s">
        <v>173</v>
      </c>
      <c r="H13" s="4" t="s">
        <v>322</v>
      </c>
      <c r="I13" s="4" t="s">
        <v>323</v>
      </c>
    </row>
    <row r="14" spans="2:15" x14ac:dyDescent="0.2">
      <c r="B14" s="26" t="s">
        <v>324</v>
      </c>
      <c r="C14" s="26" t="s">
        <v>325</v>
      </c>
      <c r="D14" s="27">
        <v>0.16184387692290139</v>
      </c>
      <c r="E14" s="27">
        <v>0.2376094730352182</v>
      </c>
      <c r="F14" s="35">
        <v>0.68444486109048475</v>
      </c>
      <c r="G14" s="27">
        <v>-0.37424195358520818</v>
      </c>
      <c r="H14" s="35">
        <v>0.84235561549535021</v>
      </c>
      <c r="I14" s="35">
        <v>0.62402394603204314</v>
      </c>
    </row>
    <row r="15" spans="2:15" x14ac:dyDescent="0.2">
      <c r="B15" s="26" t="s">
        <v>324</v>
      </c>
      <c r="C15" s="26" t="s">
        <v>326</v>
      </c>
      <c r="D15" s="27">
        <v>0.17084228994553169</v>
      </c>
      <c r="E15" s="27">
        <v>0.2423379143067266</v>
      </c>
      <c r="F15" s="35">
        <v>0.70700548866138269</v>
      </c>
      <c r="G15" s="27">
        <v>-0.37306177281367281</v>
      </c>
      <c r="H15" s="35">
        <v>0.82763521524421646</v>
      </c>
      <c r="I15" s="35">
        <v>0.6633721511270565</v>
      </c>
    </row>
    <row r="16" spans="2:15" x14ac:dyDescent="0.2">
      <c r="B16" s="26" t="s">
        <v>324</v>
      </c>
      <c r="C16" s="26" t="s">
        <v>327</v>
      </c>
      <c r="D16" s="27">
        <v>0.1766038087223831</v>
      </c>
      <c r="E16" s="27">
        <v>0.23671785411547741</v>
      </c>
      <c r="F16" s="35">
        <v>0.73898264482628051</v>
      </c>
      <c r="G16" s="27">
        <v>-0.36206516619647522</v>
      </c>
      <c r="H16" s="35">
        <v>0.88762331111941406</v>
      </c>
      <c r="I16" s="35">
        <v>0.68473107113838083</v>
      </c>
    </row>
    <row r="17" spans="2:9" x14ac:dyDescent="0.2">
      <c r="B17" s="26" t="s">
        <v>324</v>
      </c>
      <c r="C17" s="26" t="s">
        <v>328</v>
      </c>
      <c r="D17" s="27">
        <v>0.16501389721692619</v>
      </c>
      <c r="E17" s="27">
        <v>0.24082575904028239</v>
      </c>
      <c r="F17" s="35">
        <v>0.68955855611761974</v>
      </c>
      <c r="G17" s="27">
        <v>-0.36785462999523211</v>
      </c>
      <c r="H17" s="35">
        <v>0.85693860713112846</v>
      </c>
      <c r="I17" s="35">
        <v>0.62552345162846745</v>
      </c>
    </row>
    <row r="18" spans="2:9" x14ac:dyDescent="0.2">
      <c r="B18" s="26" t="s">
        <v>324</v>
      </c>
      <c r="C18" s="26" t="s">
        <v>329</v>
      </c>
      <c r="D18" s="27">
        <v>0.1350180936487877</v>
      </c>
      <c r="E18" s="27">
        <v>0.20101738490630619</v>
      </c>
      <c r="F18" s="35">
        <v>0.65217980490666883</v>
      </c>
      <c r="G18" s="27">
        <v>-0.35494245371854288</v>
      </c>
      <c r="H18" s="35">
        <v>1.01089556661491</v>
      </c>
      <c r="I18" s="35">
        <v>0.44850253469089102</v>
      </c>
    </row>
    <row r="19" spans="2:9" x14ac:dyDescent="0.2">
      <c r="B19" s="26" t="s">
        <v>324</v>
      </c>
      <c r="C19" s="26" t="s">
        <v>330</v>
      </c>
      <c r="D19" s="27">
        <v>0.12811353145566501</v>
      </c>
      <c r="E19" s="27">
        <v>0.1856853503247769</v>
      </c>
      <c r="F19" s="35">
        <v>0.65697236018048621</v>
      </c>
      <c r="G19" s="27">
        <v>-0.30349190677551119</v>
      </c>
      <c r="H19" s="35">
        <v>0.99952348490536402</v>
      </c>
      <c r="I19" s="35">
        <v>0.43605320120314323</v>
      </c>
    </row>
    <row r="20" spans="2:9" x14ac:dyDescent="0.2">
      <c r="B20" s="26" t="s">
        <v>324</v>
      </c>
      <c r="C20" s="26" t="s">
        <v>331</v>
      </c>
      <c r="D20" s="27">
        <v>0.16629562491536351</v>
      </c>
      <c r="E20" s="27">
        <v>0.23507236983889129</v>
      </c>
      <c r="F20" s="35">
        <v>0.7070406908829312</v>
      </c>
      <c r="G20" s="27">
        <v>-0.35671756027223911</v>
      </c>
      <c r="H20" s="35">
        <v>0.93153906414775445</v>
      </c>
      <c r="I20" s="35">
        <v>0.60187981725938122</v>
      </c>
    </row>
    <row r="21" spans="2:9" x14ac:dyDescent="0.2">
      <c r="B21" s="26" t="s">
        <v>324</v>
      </c>
      <c r="C21" s="26" t="s">
        <v>332</v>
      </c>
      <c r="D21" s="27">
        <v>0.18608357972450729</v>
      </c>
      <c r="E21" s="27">
        <v>0.25110629178637017</v>
      </c>
      <c r="F21" s="35">
        <v>0.74189633179549352</v>
      </c>
      <c r="G21" s="27">
        <v>-0.33952911905147098</v>
      </c>
      <c r="H21" s="35">
        <v>0.86711619354991931</v>
      </c>
      <c r="I21" s="35">
        <v>0.70807933798656975</v>
      </c>
    </row>
    <row r="22" spans="2:9" x14ac:dyDescent="0.2">
      <c r="B22" s="26" t="s">
        <v>105</v>
      </c>
      <c r="C22" s="26" t="s">
        <v>325</v>
      </c>
      <c r="D22" s="27">
        <v>0.1071607336590132</v>
      </c>
      <c r="E22" s="27">
        <v>0.1196037480284665</v>
      </c>
      <c r="F22" s="35">
        <v>0.77798308764412694</v>
      </c>
      <c r="G22" s="27">
        <v>-0.17847822398907401</v>
      </c>
      <c r="H22" s="35">
        <v>1.26959797494853</v>
      </c>
      <c r="I22" s="35">
        <v>0.41495096219536598</v>
      </c>
    </row>
    <row r="23" spans="2:9" x14ac:dyDescent="0.2">
      <c r="B23" s="26" t="s">
        <v>105</v>
      </c>
      <c r="C23" s="26" t="s">
        <v>329</v>
      </c>
      <c r="D23" s="27">
        <v>0.1049851840260618</v>
      </c>
      <c r="E23" s="27">
        <v>0.1191292704757851</v>
      </c>
      <c r="F23" s="35">
        <v>0.76408716887003703</v>
      </c>
      <c r="G23" s="27">
        <v>-0.1917684230051809</v>
      </c>
      <c r="H23" s="35">
        <v>1.3300035030973549</v>
      </c>
      <c r="I23" s="35">
        <v>0.37361979602156509</v>
      </c>
    </row>
    <row r="24" spans="2:9" x14ac:dyDescent="0.2">
      <c r="B24" s="26" t="s">
        <v>105</v>
      </c>
      <c r="C24" s="26" t="s">
        <v>330</v>
      </c>
      <c r="D24" s="27">
        <v>0.10992134335539069</v>
      </c>
      <c r="E24" s="27">
        <v>0.1205025935540314</v>
      </c>
      <c r="F24" s="35">
        <v>0.79433884987033354</v>
      </c>
      <c r="G24" s="27">
        <v>-0.2218669667718853</v>
      </c>
      <c r="H24" s="35">
        <v>1.4420025918282551</v>
      </c>
      <c r="I24" s="35">
        <v>0.36819676326662548</v>
      </c>
    </row>
    <row r="25" spans="2:9" x14ac:dyDescent="0.2">
      <c r="B25" s="26" t="s">
        <v>105</v>
      </c>
      <c r="C25" s="26" t="s">
        <v>331</v>
      </c>
      <c r="D25" s="27">
        <v>0.1065487985195943</v>
      </c>
      <c r="E25" s="27">
        <v>0.1195452686640131</v>
      </c>
      <c r="F25" s="35">
        <v>0.77360640565958938</v>
      </c>
      <c r="G25" s="27">
        <v>-0.1883155129243835</v>
      </c>
      <c r="H25" s="35">
        <v>1.3673336973219909</v>
      </c>
      <c r="I25" s="35">
        <v>0.34795512754038871</v>
      </c>
    </row>
    <row r="26" spans="2:9" x14ac:dyDescent="0.2">
      <c r="B26" s="26" t="s">
        <v>105</v>
      </c>
      <c r="C26" s="26" t="s">
        <v>332</v>
      </c>
      <c r="D26" s="27">
        <v>0.10252224545788401</v>
      </c>
      <c r="E26" s="27">
        <v>0.11808767840574989</v>
      </c>
      <c r="F26" s="35">
        <v>0.75069151259534006</v>
      </c>
      <c r="G26" s="27">
        <v>-0.18529450845285739</v>
      </c>
      <c r="H26" s="35">
        <v>1.3548076743062161</v>
      </c>
      <c r="I26" s="35">
        <v>0.29167760819527921</v>
      </c>
    </row>
    <row r="27" spans="2:9" x14ac:dyDescent="0.2">
      <c r="B27" s="26" t="s">
        <v>333</v>
      </c>
      <c r="C27" s="26" t="s">
        <v>334</v>
      </c>
      <c r="D27" s="27">
        <v>7.9459140073918397E-2</v>
      </c>
      <c r="E27" s="27">
        <v>0.16986918901657649</v>
      </c>
      <c r="F27" s="35">
        <v>0.43951038273398108</v>
      </c>
      <c r="G27" s="27">
        <v>-0.31436389380371382</v>
      </c>
      <c r="H27" s="35">
        <v>0.29838391570187278</v>
      </c>
      <c r="I27" s="35">
        <v>0.55070909735127305</v>
      </c>
    </row>
    <row r="28" spans="2:9" x14ac:dyDescent="0.2">
      <c r="B28" s="26" t="s">
        <v>333</v>
      </c>
      <c r="C28" s="26" t="s">
        <v>335</v>
      </c>
      <c r="D28" s="27">
        <v>4.0834405761133799E-2</v>
      </c>
      <c r="E28" s="27">
        <v>0.1472090238917686</v>
      </c>
      <c r="F28" s="35">
        <v>0.2345053606166155</v>
      </c>
      <c r="G28" s="27">
        <v>-0.32834127914927258</v>
      </c>
      <c r="H28" s="35">
        <v>1.51772684257588E-2</v>
      </c>
      <c r="I28" s="35">
        <v>0.35983769581808889</v>
      </c>
    </row>
    <row r="29" spans="2:9" x14ac:dyDescent="0.2">
      <c r="B29" s="26" t="s">
        <v>333</v>
      </c>
      <c r="C29" s="26" t="s">
        <v>336</v>
      </c>
      <c r="D29" s="27">
        <v>5.2424311770700997E-2</v>
      </c>
      <c r="E29" s="27">
        <v>0.17600788572166759</v>
      </c>
      <c r="F29" s="35">
        <v>0.28535284498352748</v>
      </c>
      <c r="G29" s="27">
        <v>-0.33656341380326132</v>
      </c>
      <c r="H29" s="35">
        <v>-0.26500456286807073</v>
      </c>
      <c r="I29" s="35">
        <v>0.73775912385432241</v>
      </c>
    </row>
    <row r="30" spans="2:9" x14ac:dyDescent="0.2">
      <c r="B30" s="26" t="s">
        <v>333</v>
      </c>
      <c r="C30" s="26" t="s">
        <v>337</v>
      </c>
      <c r="D30" s="27">
        <v>4.32542159789195E-2</v>
      </c>
      <c r="E30" s="27">
        <v>0.18537009708059751</v>
      </c>
      <c r="F30" s="35">
        <v>0.23329191132595539</v>
      </c>
      <c r="G30" s="27">
        <v>-0.37271222304094859</v>
      </c>
      <c r="H30" s="35">
        <v>-0.26142626527315299</v>
      </c>
      <c r="I30" s="35">
        <v>0.65808001238193192</v>
      </c>
    </row>
    <row r="31" spans="2:9" x14ac:dyDescent="0.2">
      <c r="B31" s="26" t="s">
        <v>333</v>
      </c>
      <c r="C31" s="26" t="s">
        <v>338</v>
      </c>
      <c r="D31" s="27">
        <v>8.0896159321954597E-2</v>
      </c>
      <c r="E31" s="27">
        <v>0.16895799563307071</v>
      </c>
      <c r="F31" s="35">
        <v>0.448856748884495</v>
      </c>
      <c r="G31" s="27">
        <v>-0.30131418024695489</v>
      </c>
      <c r="H31" s="35">
        <v>0.29838391570187278</v>
      </c>
      <c r="I31" s="35">
        <v>0.56658693624741951</v>
      </c>
    </row>
    <row r="33" spans="2:13" x14ac:dyDescent="0.2">
      <c r="B33" s="25" t="s">
        <v>339</v>
      </c>
    </row>
    <row r="34" spans="2:13" x14ac:dyDescent="0.2">
      <c r="B34" s="4" t="s">
        <v>103</v>
      </c>
      <c r="C34" s="4" t="s">
        <v>254</v>
      </c>
      <c r="D34" s="4" t="s">
        <v>167</v>
      </c>
      <c r="E34" s="4" t="s">
        <v>168</v>
      </c>
      <c r="F34" s="4" t="s">
        <v>169</v>
      </c>
      <c r="G34" s="4" t="s">
        <v>173</v>
      </c>
      <c r="H34" s="4" t="s">
        <v>340</v>
      </c>
      <c r="I34" s="4" t="s">
        <v>341</v>
      </c>
      <c r="J34" s="4" t="s">
        <v>342</v>
      </c>
      <c r="K34" s="4" t="s">
        <v>343</v>
      </c>
      <c r="L34" s="4" t="s">
        <v>344</v>
      </c>
      <c r="M34" s="4" t="s">
        <v>345</v>
      </c>
    </row>
    <row r="35" spans="2:13" x14ac:dyDescent="0.2">
      <c r="B35" s="26" t="s">
        <v>346</v>
      </c>
      <c r="C35" s="26" t="s">
        <v>347</v>
      </c>
      <c r="D35" s="27">
        <v>0.1056683972588288</v>
      </c>
      <c r="E35" s="27">
        <v>6.6351760559283421E-2</v>
      </c>
      <c r="F35" s="35">
        <v>1.461430573004824</v>
      </c>
      <c r="G35" s="27">
        <v>-4.6013744878198197E-2</v>
      </c>
      <c r="H35" s="27">
        <v>0.358435830256219</v>
      </c>
      <c r="I35" s="27">
        <v>0.26156416974378122</v>
      </c>
      <c r="J35" s="27">
        <v>8.0000000000000071E-2</v>
      </c>
      <c r="K35" s="27">
        <v>1.8997263588521881E-2</v>
      </c>
      <c r="L35" s="27">
        <v>9.4205989772263648E-18</v>
      </c>
      <c r="M35" s="27">
        <v>0.28100273641147788</v>
      </c>
    </row>
    <row r="36" spans="2:13" x14ac:dyDescent="0.2">
      <c r="B36" s="26" t="s">
        <v>346</v>
      </c>
      <c r="C36" s="26" t="s">
        <v>348</v>
      </c>
      <c r="D36" s="27">
        <v>7.4513279706229119E-2</v>
      </c>
      <c r="E36" s="27">
        <v>0.1150494337883121</v>
      </c>
      <c r="F36" s="35">
        <v>0.44872793859912607</v>
      </c>
      <c r="G36" s="27">
        <v>-0.20542131556172349</v>
      </c>
      <c r="H36" s="27">
        <v>0.358435830256219</v>
      </c>
      <c r="I36" s="27">
        <v>0.26156416974378122</v>
      </c>
      <c r="J36" s="27">
        <v>8.0000000000000071E-2</v>
      </c>
      <c r="K36" s="27">
        <v>1.8997263588521881E-2</v>
      </c>
      <c r="L36" s="27">
        <v>9.4205989772263648E-18</v>
      </c>
      <c r="M36" s="27">
        <v>0.28100273641147788</v>
      </c>
    </row>
    <row r="37" spans="2:13" x14ac:dyDescent="0.2">
      <c r="B37" s="26" t="s">
        <v>349</v>
      </c>
      <c r="C37" s="26" t="s">
        <v>347</v>
      </c>
      <c r="D37" s="27">
        <v>0.1201605662353227</v>
      </c>
      <c r="E37" s="27">
        <v>8.0784736294688519E-2</v>
      </c>
      <c r="F37" s="35">
        <v>1.3760572648466169</v>
      </c>
      <c r="G37" s="27">
        <v>-9.3163449132399712E-2</v>
      </c>
      <c r="H37" s="27">
        <v>0.48667854051083292</v>
      </c>
      <c r="I37" s="27">
        <v>6.6946145184114528E-2</v>
      </c>
      <c r="J37" s="27">
        <v>0.14637531430505249</v>
      </c>
      <c r="K37" s="27">
        <v>5.2610263413056343E-2</v>
      </c>
      <c r="L37" s="27">
        <v>7.5007855085300765E-2</v>
      </c>
      <c r="M37" s="27">
        <v>0.17238188150164299</v>
      </c>
    </row>
    <row r="38" spans="2:13" x14ac:dyDescent="0.2">
      <c r="B38" s="26" t="s">
        <v>349</v>
      </c>
      <c r="C38" s="26" t="s">
        <v>348</v>
      </c>
      <c r="D38" s="27">
        <v>0.1107305716741742</v>
      </c>
      <c r="E38" s="27">
        <v>0.13429235090140709</v>
      </c>
      <c r="F38" s="35">
        <v>0.65084711619508828</v>
      </c>
      <c r="G38" s="27">
        <v>-0.20490278280242169</v>
      </c>
      <c r="H38" s="27">
        <v>0.48667854051083292</v>
      </c>
      <c r="I38" s="27">
        <v>6.6946145184114528E-2</v>
      </c>
      <c r="J38" s="27">
        <v>0.14637531430505249</v>
      </c>
      <c r="K38" s="27">
        <v>5.2610263413056343E-2</v>
      </c>
      <c r="L38" s="27">
        <v>7.5007855085300765E-2</v>
      </c>
      <c r="M38" s="27">
        <v>0.17238188150164299</v>
      </c>
    </row>
    <row r="39" spans="2:13" x14ac:dyDescent="0.2">
      <c r="B39" s="26" t="s">
        <v>350</v>
      </c>
      <c r="C39" s="26" t="s">
        <v>347</v>
      </c>
      <c r="D39" s="27">
        <v>0.10761655035187891</v>
      </c>
      <c r="E39" s="27">
        <v>7.063954557060094E-2</v>
      </c>
      <c r="F39" s="35">
        <v>1.4020459178078979</v>
      </c>
      <c r="G39" s="27">
        <v>-7.5759872253595484E-2</v>
      </c>
      <c r="H39" s="27">
        <v>0.37890000000000001</v>
      </c>
      <c r="I39" s="27">
        <v>0.16869999999999999</v>
      </c>
      <c r="J39" s="27">
        <v>0.14599999999999999</v>
      </c>
      <c r="K39" s="27">
        <v>6.1100000000000002E-2</v>
      </c>
      <c r="L39" s="27">
        <v>7.0599999999999996E-2</v>
      </c>
      <c r="M39" s="27">
        <v>0.17460000000000001</v>
      </c>
    </row>
    <row r="40" spans="2:13" x14ac:dyDescent="0.2">
      <c r="B40" s="26" t="s">
        <v>350</v>
      </c>
      <c r="C40" s="26" t="s">
        <v>348</v>
      </c>
      <c r="D40" s="27">
        <v>9.1923869622193344E-2</v>
      </c>
      <c r="E40" s="27">
        <v>0.1225932856905927</v>
      </c>
      <c r="F40" s="35">
        <v>0.56034579108877758</v>
      </c>
      <c r="G40" s="27">
        <v>-0.2047527980997258</v>
      </c>
      <c r="H40" s="27">
        <v>0.37890000000000001</v>
      </c>
      <c r="I40" s="27">
        <v>0.16869999999999999</v>
      </c>
      <c r="J40" s="27">
        <v>0.14599999999999999</v>
      </c>
      <c r="K40" s="27">
        <v>6.1100000000000002E-2</v>
      </c>
      <c r="L40" s="27">
        <v>7.0599999999999996E-2</v>
      </c>
      <c r="M40" s="27">
        <v>0.17460000000000001</v>
      </c>
    </row>
    <row r="41" spans="2:13" x14ac:dyDescent="0.2">
      <c r="B41" s="26" t="s">
        <v>351</v>
      </c>
      <c r="C41" s="26" t="s">
        <v>347</v>
      </c>
      <c r="D41" s="27">
        <v>9.5147502223999592E-2</v>
      </c>
      <c r="E41" s="27">
        <v>7.0866573553378276E-2</v>
      </c>
      <c r="F41" s="35">
        <v>1.2367991758343271</v>
      </c>
      <c r="G41" s="27">
        <v>-8.6652537353040793E-2</v>
      </c>
      <c r="H41" s="27">
        <v>0.16666666666666671</v>
      </c>
      <c r="I41" s="27">
        <v>0.16666666666666671</v>
      </c>
      <c r="J41" s="27">
        <v>0.16666666666666671</v>
      </c>
      <c r="K41" s="27">
        <v>0.16666666666666671</v>
      </c>
      <c r="L41" s="27">
        <v>0.16666666666666671</v>
      </c>
      <c r="M41" s="27">
        <v>0.16666666666666671</v>
      </c>
    </row>
    <row r="42" spans="2:13" x14ac:dyDescent="0.2">
      <c r="B42" s="26" t="s">
        <v>351</v>
      </c>
      <c r="C42" s="26" t="s">
        <v>348</v>
      </c>
      <c r="D42" s="27">
        <v>9.3137149390628116E-2</v>
      </c>
      <c r="E42" s="27">
        <v>0.11908660941521811</v>
      </c>
      <c r="F42" s="35">
        <v>0.58255564972432627</v>
      </c>
      <c r="G42" s="27">
        <v>-0.17335661504217309</v>
      </c>
      <c r="H42" s="27">
        <v>0.16666666666666671</v>
      </c>
      <c r="I42" s="27">
        <v>0.16666666666666671</v>
      </c>
      <c r="J42" s="27">
        <v>0.16666666666666671</v>
      </c>
      <c r="K42" s="27">
        <v>0.16666666666666671</v>
      </c>
      <c r="L42" s="27">
        <v>0.16666666666666671</v>
      </c>
      <c r="M42" s="27">
        <v>0.16666666666666671</v>
      </c>
    </row>
    <row r="44" spans="2:13" x14ac:dyDescent="0.2">
      <c r="B44" s="25" t="s">
        <v>352</v>
      </c>
    </row>
    <row r="45" spans="2:13" x14ac:dyDescent="0.2">
      <c r="B45" s="6" t="s">
        <v>353</v>
      </c>
    </row>
    <row r="46" spans="2:13" x14ac:dyDescent="0.2">
      <c r="B46" s="6" t="s">
        <v>354</v>
      </c>
    </row>
    <row r="47" spans="2:13" x14ac:dyDescent="0.2">
      <c r="B47" s="6" t="s">
        <v>355</v>
      </c>
    </row>
    <row r="48" spans="2:13" x14ac:dyDescent="0.2">
      <c r="B48" s="6" t="s">
        <v>356</v>
      </c>
    </row>
    <row r="49" spans="2:2" x14ac:dyDescent="0.2">
      <c r="B49" s="6" t="s">
        <v>357</v>
      </c>
    </row>
    <row r="50" spans="2:2" x14ac:dyDescent="0.2">
      <c r="B50" s="6" t="s">
        <v>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D17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0" customWidth="1"/>
    <col min="3" max="3" width="95" customWidth="1"/>
    <col min="4" max="4" width="75" customWidth="1"/>
  </cols>
  <sheetData>
    <row r="2" spans="1:4" ht="18" x14ac:dyDescent="0.2">
      <c r="B2" s="1" t="s">
        <v>359</v>
      </c>
    </row>
    <row r="5" spans="1:4" x14ac:dyDescent="0.2">
      <c r="B5" s="4" t="s">
        <v>360</v>
      </c>
      <c r="C5" s="4" t="s">
        <v>361</v>
      </c>
      <c r="D5" s="4" t="s">
        <v>362</v>
      </c>
    </row>
    <row r="6" spans="1:4" x14ac:dyDescent="0.2">
      <c r="A6" s="48"/>
      <c r="B6" s="49" t="s">
        <v>363</v>
      </c>
      <c r="C6" s="49" t="s">
        <v>364</v>
      </c>
      <c r="D6" s="49" t="s">
        <v>365</v>
      </c>
    </row>
    <row r="7" spans="1:4" ht="28" x14ac:dyDescent="0.2">
      <c r="A7" s="48"/>
      <c r="B7" s="49" t="s">
        <v>363</v>
      </c>
      <c r="C7" s="49" t="s">
        <v>366</v>
      </c>
      <c r="D7" s="49" t="s">
        <v>367</v>
      </c>
    </row>
    <row r="8" spans="1:4" x14ac:dyDescent="0.2">
      <c r="A8" s="48"/>
      <c r="B8" s="49" t="s">
        <v>363</v>
      </c>
      <c r="C8" s="49" t="s">
        <v>368</v>
      </c>
      <c r="D8" s="49" t="s">
        <v>369</v>
      </c>
    </row>
    <row r="9" spans="1:4" ht="28" x14ac:dyDescent="0.2">
      <c r="A9" s="48"/>
      <c r="B9" s="49" t="s">
        <v>363</v>
      </c>
      <c r="C9" s="49" t="s">
        <v>370</v>
      </c>
      <c r="D9" s="49" t="s">
        <v>371</v>
      </c>
    </row>
    <row r="10" spans="1:4" ht="28" x14ac:dyDescent="0.2">
      <c r="A10" s="48"/>
      <c r="B10" s="49" t="s">
        <v>363</v>
      </c>
      <c r="C10" s="49" t="s">
        <v>372</v>
      </c>
      <c r="D10" s="49" t="s">
        <v>373</v>
      </c>
    </row>
    <row r="11" spans="1:4" x14ac:dyDescent="0.2">
      <c r="A11" s="48"/>
      <c r="B11" s="49" t="s">
        <v>374</v>
      </c>
      <c r="C11" s="49" t="s">
        <v>375</v>
      </c>
      <c r="D11" s="49" t="s">
        <v>376</v>
      </c>
    </row>
    <row r="12" spans="1:4" x14ac:dyDescent="0.2">
      <c r="A12" s="48"/>
      <c r="B12" s="49" t="s">
        <v>374</v>
      </c>
      <c r="C12" s="49" t="s">
        <v>377</v>
      </c>
      <c r="D12" s="49" t="s">
        <v>378</v>
      </c>
    </row>
    <row r="13" spans="1:4" x14ac:dyDescent="0.2">
      <c r="A13" s="48"/>
      <c r="B13" s="49" t="s">
        <v>374</v>
      </c>
      <c r="C13" s="49" t="s">
        <v>379</v>
      </c>
      <c r="D13" s="49" t="s">
        <v>380</v>
      </c>
    </row>
    <row r="14" spans="1:4" x14ac:dyDescent="0.2">
      <c r="A14" s="48"/>
      <c r="B14" s="49" t="s">
        <v>374</v>
      </c>
      <c r="C14" s="49" t="s">
        <v>381</v>
      </c>
      <c r="D14" s="49" t="s">
        <v>382</v>
      </c>
    </row>
    <row r="15" spans="1:4" x14ac:dyDescent="0.2">
      <c r="A15" s="48"/>
      <c r="B15" s="49" t="s">
        <v>383</v>
      </c>
      <c r="C15" s="49" t="s">
        <v>384</v>
      </c>
      <c r="D15" s="49" t="s">
        <v>385</v>
      </c>
    </row>
    <row r="16" spans="1:4" x14ac:dyDescent="0.2">
      <c r="A16" s="48"/>
      <c r="B16" s="49" t="s">
        <v>383</v>
      </c>
      <c r="C16" s="49" t="s">
        <v>386</v>
      </c>
      <c r="D16" s="49" t="s">
        <v>387</v>
      </c>
    </row>
    <row r="17" spans="1:4" x14ac:dyDescent="0.2">
      <c r="A17" s="48"/>
      <c r="B17" s="49" t="s">
        <v>383</v>
      </c>
      <c r="C17" s="49" t="s">
        <v>388</v>
      </c>
      <c r="D17" s="49" t="s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00_Indice</vt:lpstr>
      <vt:lpstr>01_Supuestos</vt:lpstr>
      <vt:lpstr>02_Objetivos_TIR</vt:lpstr>
      <vt:lpstr>03_Estrategias</vt:lpstr>
      <vt:lpstr>04_Datos_Mensuales</vt:lpstr>
      <vt:lpstr>05_Markowitz</vt:lpstr>
      <vt:lpstr>06_Black_Litterman</vt:lpstr>
      <vt:lpstr>07_Benchmark_Metricas</vt:lpstr>
      <vt:lpstr>08_Montecarlo</vt:lpstr>
      <vt:lpstr>09_Validacion</vt:lpstr>
      <vt:lpstr>10_Bitacora_Auditoria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Onofre Torres Wachtendorff</cp:lastModifiedBy>
  <dcterms:created xsi:type="dcterms:W3CDTF">2026-10-06T14:50:43Z</dcterms:created>
  <dcterms:modified xsi:type="dcterms:W3CDTF">2026-10-06T14:50:45Z</dcterms:modified>
</cp:coreProperties>
</file>