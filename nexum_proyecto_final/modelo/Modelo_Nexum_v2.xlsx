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ice" sheetId="1" state="visible" r:id="rId1"/>
    <sheet xmlns:r="http://schemas.openxmlformats.org/officeDocument/2006/relationships" name="01_Supuestos" sheetId="2" state="visible" r:id="rId2"/>
    <sheet xmlns:r="http://schemas.openxmlformats.org/officeDocument/2006/relationships" name="02_Objetivos_TIR" sheetId="3" state="visible" r:id="rId3"/>
    <sheet xmlns:r="http://schemas.openxmlformats.org/officeDocument/2006/relationships" name="03_Estrategias" sheetId="4" state="visible" r:id="rId4"/>
    <sheet xmlns:r="http://schemas.openxmlformats.org/officeDocument/2006/relationships" name="04_Datos_Mensuales" sheetId="5" state="visible" r:id="rId5"/>
    <sheet xmlns:r="http://schemas.openxmlformats.org/officeDocument/2006/relationships" name="05_Markowitz" sheetId="6" state="visible" r:id="rId6"/>
    <sheet xmlns:r="http://schemas.openxmlformats.org/officeDocument/2006/relationships" name="06_Black_Litterman" sheetId="7" state="visible" r:id="rId7"/>
    <sheet xmlns:r="http://schemas.openxmlformats.org/officeDocument/2006/relationships" name="07_Benchmark_Metricas" sheetId="8" state="visible" r:id="rId8"/>
    <sheet xmlns:r="http://schemas.openxmlformats.org/officeDocument/2006/relationships" name="08_Montecarlo" sheetId="9" state="visible" r:id="rId9"/>
    <sheet xmlns:r="http://schemas.openxmlformats.org/officeDocument/2006/relationships" name="09_Validacion" sheetId="10" state="visible" r:id="rId10"/>
    <sheet xmlns:r="http://schemas.openxmlformats.org/officeDocument/2006/relationships" name="10_Bitacora_Auditor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(#,##0);&quot;-&quot;"/>
    <numFmt numFmtId="166" formatCode="0.0000"/>
    <numFmt numFmtId="167" formatCode="0.00x"/>
    <numFmt numFmtId="168" formatCode="#,##0.0"/>
    <numFmt numFmtId="169" formatCode="yyyy-mm-dd"/>
    <numFmt numFmtId="170" formatCode="yyyy-mm"/>
    <numFmt numFmtId="171" formatCode="0.00000"/>
    <numFmt numFmtId="172" formatCode="0.000000"/>
  </numFmts>
  <fonts count="12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1F3A5F"/>
      <sz val="11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i val="1"/>
      <color rgb="00595959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pivotButton="0" quotePrefix="0" xfId="0"/>
    <xf numFmtId="10" fontId="9" fillId="3" borderId="1" pivotButton="0" quotePrefix="0" xfId="0"/>
    <xf numFmtId="164" fontId="10" fillId="3" borderId="1" pivotButton="0" quotePrefix="0" xfId="0"/>
    <xf numFmtId="165" fontId="7" fillId="0" borderId="1" pivotButton="0" quotePrefix="0" xfId="0"/>
    <xf numFmtId="0" fontId="2" fillId="0" borderId="1" pivotButton="0" quotePrefix="0" xfId="0"/>
    <xf numFmtId="164" fontId="7" fillId="0" borderId="1" pivotButton="0" quotePrefix="0" xfId="0"/>
    <xf numFmtId="1" fontId="7" fillId="0" borderId="1" pivotButton="0" quotePrefix="0" xfId="0"/>
    <xf numFmtId="4" fontId="7" fillId="0" borderId="1" pivotButton="0" quotePrefix="0" xfId="0"/>
    <xf numFmtId="166" fontId="8" fillId="0" borderId="1" pivotButton="0" quotePrefix="0" xfId="0"/>
    <xf numFmtId="3" fontId="7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0" fontId="7" fillId="0" borderId="1" pivotButton="0" quotePrefix="0" xfId="0"/>
    <xf numFmtId="0" fontId="7" fillId="0" borderId="1" pivotButton="0" quotePrefix="0" xfId="0"/>
    <xf numFmtId="0" fontId="3" fillId="0" borderId="1" pivotButton="0" quotePrefix="0" xfId="0"/>
    <xf numFmtId="0" fontId="10" fillId="0" borderId="1" pivotButton="0" quotePrefix="0" xfId="0"/>
    <xf numFmtId="10" fontId="10" fillId="0" borderId="1" pivotButton="0" quotePrefix="0" xfId="0"/>
    <xf numFmtId="10" fontId="8" fillId="3" borderId="1" pivotButton="0" quotePrefix="0" xfId="0"/>
    <xf numFmtId="167" fontId="8" fillId="3" borderId="1" pivotButton="0" quotePrefix="0" xfId="0"/>
    <xf numFmtId="1" fontId="6" fillId="0" borderId="1" pivotButton="0" quotePrefix="0" xfId="0"/>
    <xf numFmtId="1" fontId="10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3" fontId="10" fillId="0" borderId="1" pivotButton="0" quotePrefix="0" xfId="0"/>
    <xf numFmtId="4" fontId="10" fillId="0" borderId="1" pivotButton="0" quotePrefix="0" xfId="0"/>
    <xf numFmtId="170" fontId="0" fillId="0" borderId="0" pivotButton="0" quotePrefix="0" xfId="0"/>
    <xf numFmtId="10" fontId="10" fillId="0" borderId="0" pivotButton="0" quotePrefix="0" xfId="0"/>
    <xf numFmtId="10" fontId="8" fillId="0" borderId="1" pivotButton="0" quotePrefix="0" xfId="0"/>
    <xf numFmtId="171" fontId="8" fillId="0" borderId="1" pivotButton="0" quotePrefix="0" xfId="0"/>
    <xf numFmtId="10" fontId="0" fillId="0" borderId="0" pivotButton="0" quotePrefix="0" xfId="0"/>
    <xf numFmtId="4" fontId="8" fillId="0" borderId="1" pivotButton="0" quotePrefix="0" xfId="0"/>
    <xf numFmtId="0" fontId="8" fillId="0" borderId="1" pivotButton="0" quotePrefix="0" xfId="0"/>
    <xf numFmtId="10" fontId="9" fillId="0" borderId="1" pivotButton="0" quotePrefix="0" xfId="0"/>
    <xf numFmtId="10" fontId="0" fillId="0" borderId="1" pivotButton="0" quotePrefix="0" xfId="0"/>
    <xf numFmtId="172" fontId="0" fillId="0" borderId="0" pivotButton="0" quotePrefix="0" xfId="0"/>
    <xf numFmtId="0" fontId="4" fillId="2" borderId="0" pivotButton="0" quotePrefix="0" xfId="0"/>
    <xf numFmtId="171" fontId="0" fillId="0" borderId="1" pivotButton="0" quotePrefix="0" xfId="0"/>
    <xf numFmtId="10" fontId="6" fillId="0" borderId="1" pivotButton="0" quotePrefix="0" xfId="0"/>
    <xf numFmtId="164" fontId="10" fillId="0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Supuestos'!A1" TargetMode="External" Id="rId1"/><Relationship Type="http://schemas.openxmlformats.org/officeDocument/2006/relationships/hyperlink" Target="#'02_Objetivos_TIR'!A1" TargetMode="External" Id="rId2"/><Relationship Type="http://schemas.openxmlformats.org/officeDocument/2006/relationships/hyperlink" Target="#'03_Estrategias'!A1" TargetMode="External" Id="rId3"/><Relationship Type="http://schemas.openxmlformats.org/officeDocument/2006/relationships/hyperlink" Target="#'04_Datos_Mensuales'!A1" TargetMode="External" Id="rId4"/><Relationship Type="http://schemas.openxmlformats.org/officeDocument/2006/relationships/hyperlink" Target="#'05_Markowitz'!A1" TargetMode="External" Id="rId5"/><Relationship Type="http://schemas.openxmlformats.org/officeDocument/2006/relationships/hyperlink" Target="#'06_Black_Litterman'!A1" TargetMode="External" Id="rId6"/><Relationship Type="http://schemas.openxmlformats.org/officeDocument/2006/relationships/hyperlink" Target="#'07_Benchmark_Metricas'!A1" TargetMode="External" Id="rId7"/><Relationship Type="http://schemas.openxmlformats.org/officeDocument/2006/relationships/hyperlink" Target="#'08_Montecarlo'!A1" TargetMode="External" Id="rId8"/><Relationship Type="http://schemas.openxmlformats.org/officeDocument/2006/relationships/hyperlink" Target="#'09_Validacion'!A1" TargetMode="External" Id="rId9"/><Relationship Type="http://schemas.openxmlformats.org/officeDocument/2006/relationships/hyperlink" Target="#'10_Bitacora_Auditoria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10" customWidth="1" min="3" max="3"/>
  </cols>
  <sheetData>
    <row r="2">
      <c r="B2" s="1" t="inlineStr">
        <is>
          <t>Nexum Financial Advisors — Modelo de inversión Familia Allende Cunich (v2)</t>
        </is>
      </c>
    </row>
    <row r="3">
      <c r="B3" s="2" t="inlineStr">
        <is>
          <t>Grupo 11 · ESF 2026-2 · Datos al 31-ago-2026 · Generado 11-10-2026 con codigo/run_all.py + excel_modelo.py</t>
        </is>
      </c>
    </row>
    <row r="5">
      <c r="B5" s="3" t="inlineStr">
        <is>
          <t>Flujo del modelo</t>
        </is>
      </c>
    </row>
    <row r="6">
      <c r="B6" s="4" t="inlineStr">
        <is>
          <t>Hoja</t>
        </is>
      </c>
      <c r="C6" s="4" t="inlineStr">
        <is>
          <t>Contenido</t>
        </is>
      </c>
    </row>
    <row r="7">
      <c r="B7" s="5" t="inlineStr">
        <is>
          <t>01_Supuestos</t>
        </is>
      </c>
      <c r="C7" s="6" t="inlineStr">
        <is>
          <t>Datos del cliente, objetivos, tipos de cambio, reglas de las estrategias y supuestos de mercado (todas las entradas)</t>
        </is>
      </c>
    </row>
    <row r="8">
      <c r="B8" s="5" t="inlineStr">
        <is>
          <t>02_Objetivos_TIR</t>
        </is>
      </c>
      <c r="C8" s="6" t="inlineStr">
        <is>
          <t>Flujos años 0-50, TIR real requerida (fórmula IRR) y factibilidad</t>
        </is>
      </c>
    </row>
    <row r="9">
      <c r="B9" s="5" t="inlineStr">
        <is>
          <t>03_Estrategias</t>
        </is>
      </c>
      <c r="C9" s="6" t="inlineStr">
        <is>
          <t>Reglas, resultados del backtest y comparación con su benchmark de cada estrategia activa</t>
        </is>
      </c>
    </row>
    <row r="10">
      <c r="B10" s="5" t="inlineStr">
        <is>
          <t>04_Datos_Mensuales</t>
        </is>
      </c>
      <c r="C10" s="6" t="inlineStr">
        <is>
          <t>Retornos mensuales 2013-2026 de los 6 activos y del benchmark (salida de los backtests point-in-time)</t>
        </is>
      </c>
    </row>
    <row r="11">
      <c r="B11" s="5" t="inlineStr">
        <is>
          <t>05_Markowitz</t>
        </is>
      </c>
      <c r="C11" s="6" t="inlineStr">
        <is>
          <t>Medias, volatilidades y covarianzas con fórmulas; cartera de máximo Sharpe histórico</t>
        </is>
      </c>
    </row>
    <row r="12">
      <c r="B12" s="5" t="inlineStr">
        <is>
          <t>06_Black_Litterman</t>
        </is>
      </c>
      <c r="C12" s="6" t="inlineStr">
        <is>
          <t>Prior de paridad de riesgo, π implícito, vistas y μ posterior calculados con fórmulas matriciales</t>
        </is>
      </c>
    </row>
    <row r="13">
      <c r="B13" s="5" t="inlineStr">
        <is>
          <t>07_Benchmark_Metricas</t>
        </is>
      </c>
      <c r="C13" s="6" t="inlineStr">
        <is>
          <t>Benchmark de política por sleeve, métricas de desempeño, tracking error ex-ante e IR</t>
        </is>
      </c>
    </row>
    <row r="14">
      <c r="B14" s="5" t="inlineStr">
        <is>
          <t>08_Montecarlo</t>
        </is>
      </c>
      <c r="C14" s="6" t="inlineStr">
        <is>
          <t>Probabilidad de cumplir cada objetivo: USD y UF, histórico y prospectivo, Nexum vs AGF; palancas</t>
        </is>
      </c>
    </row>
    <row r="15">
      <c r="B15" s="5" t="inlineStr">
        <is>
          <t>09_Validacion</t>
        </is>
      </c>
      <c r="C15" s="6" t="inlineStr">
        <is>
          <t>Impacto de correcciones, robustez de parámetros, walk-forward fuera de muestra y sesgos declarados</t>
        </is>
      </c>
    </row>
    <row r="16">
      <c r="B16" s="5" t="inlineStr">
        <is>
          <t>10_Bitacora_Auditoria</t>
        </is>
      </c>
      <c r="C16" s="6" t="inlineStr">
        <is>
          <t>Errores encontrados en el modelo original y cómo se corrigieron</t>
        </is>
      </c>
    </row>
    <row r="19">
      <c r="B19" s="3" t="inlineStr">
        <is>
          <t>Convención de colores</t>
        </is>
      </c>
    </row>
    <row r="20">
      <c r="B20" s="7" t="inlineStr">
        <is>
          <t>Azul: dato de entrada editable</t>
        </is>
      </c>
    </row>
    <row r="21">
      <c r="B21" s="8" t="inlineStr">
        <is>
          <t>Negro: fórmula</t>
        </is>
      </c>
    </row>
    <row r="22">
      <c r="B22" s="9" t="inlineStr">
        <is>
          <t>Verde: vínculo a otra hoja</t>
        </is>
      </c>
    </row>
    <row r="23">
      <c r="B23" s="10" t="inlineStr">
        <is>
          <t>Gris itálica: resultado calculado en Python (codigo/), reproducible con run_all.py</t>
        </is>
      </c>
    </row>
    <row r="25">
      <c r="B25" s="3" t="inlineStr">
        <is>
          <t>Resultado principal</t>
        </is>
      </c>
    </row>
    <row r="26">
      <c r="B26" s="11" t="inlineStr">
        <is>
          <t>TIR real requerida (enunciado)</t>
        </is>
      </c>
      <c r="C26" s="12">
        <f>'02_Objetivos_TIR'!D8</f>
        <v/>
      </c>
    </row>
    <row r="27">
      <c r="B27" s="11" t="inlineStr">
        <is>
          <t>P(3 objetivos) histórico, USD</t>
        </is>
      </c>
      <c r="C27" s="13" t="n">
        <v>0.95955</v>
      </c>
    </row>
    <row r="28">
      <c r="B28" s="11" t="inlineStr">
        <is>
          <t>P(3 objetivos) prospectivo, USD</t>
        </is>
      </c>
      <c r="C28" s="13" t="n">
        <v>0.4653</v>
      </c>
    </row>
    <row r="29">
      <c r="B29" s="11" t="inlineStr">
        <is>
          <t>P(Educación) en todos los escenarios</t>
        </is>
      </c>
      <c r="C29" s="13" t="n">
        <v>0.999</v>
      </c>
    </row>
  </sheetData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" customWidth="1" min="3" max="3"/>
    <col width="16" customWidth="1" min="4" max="4"/>
    <col width="80" customWidth="1" min="5" max="5"/>
  </cols>
  <sheetData>
    <row r="2">
      <c r="B2" s="1" t="inlineStr">
        <is>
          <t>Supuestos y datos de entrada</t>
        </is>
      </c>
    </row>
    <row r="3">
      <c r="B3" s="2" t="inlineStr">
        <is>
          <t>Fuente: enunciado 'Planificación Actividad de Graduación' y BCCh (11-ago-2026). Todo número del modelo nace aquí o en codigo/config.py.</t>
        </is>
      </c>
    </row>
    <row r="5">
      <c r="B5" s="4" t="inlineStr">
        <is>
          <t>Parámetro</t>
        </is>
      </c>
      <c r="C5" s="4" t="inlineStr"/>
      <c r="D5" s="4" t="inlineStr">
        <is>
          <t>Valor</t>
        </is>
      </c>
      <c r="E5" s="4" t="inlineStr">
        <is>
          <t>Fuente / nota</t>
        </is>
      </c>
    </row>
    <row r="6">
      <c r="B6" s="3" t="inlineStr">
        <is>
          <t>Cliente y mercado</t>
        </is>
      </c>
    </row>
    <row r="7">
      <c r="B7" s="6" t="inlineStr">
        <is>
          <t>Capital inicial (USD)</t>
        </is>
      </c>
      <c r="D7" s="14" t="n">
        <v>150000</v>
      </c>
      <c r="E7" s="15" t="inlineStr">
        <is>
          <t>Enunciado</t>
        </is>
      </c>
    </row>
    <row r="8">
      <c r="B8" s="6" t="inlineStr">
        <is>
          <t>Reserva operativa + cambiaria</t>
        </is>
      </c>
      <c r="D8" s="16" t="n">
        <v>0.04</v>
      </c>
      <c r="E8" s="15" t="inlineStr">
        <is>
          <t>2% caja + 2% reserva; no se invierte</t>
        </is>
      </c>
    </row>
    <row r="9">
      <c r="B9" s="6" t="inlineStr">
        <is>
          <t>Aporte anual (USD, abril)</t>
        </is>
      </c>
      <c r="D9" s="14" t="n">
        <v>10000</v>
      </c>
      <c r="E9" s="15" t="inlineStr">
        <is>
          <t>Enunciado: hasta que Tomás cumpla 65</t>
        </is>
      </c>
    </row>
    <row r="10">
      <c r="B10" s="6" t="inlineStr">
        <is>
          <t>N° de aportes</t>
        </is>
      </c>
      <c r="D10" s="17" t="n">
        <v>19</v>
      </c>
      <c r="E10" s="15" t="inlineStr">
        <is>
          <t>46 → 65 años</t>
        </is>
      </c>
    </row>
    <row r="11">
      <c r="B11" s="6" t="inlineStr">
        <is>
          <t>USD/CLP</t>
        </is>
      </c>
      <c r="D11" s="18" t="n">
        <v>911.77</v>
      </c>
      <c r="E11" s="15" t="inlineStr">
        <is>
          <t>BCCh 11-ago-2026</t>
        </is>
      </c>
    </row>
    <row r="12">
      <c r="B12" s="6" t="inlineStr">
        <is>
          <t>UF/CLP</t>
        </is>
      </c>
      <c r="D12" s="18" t="n">
        <v>40846</v>
      </c>
      <c r="E12" s="15" t="inlineStr">
        <is>
          <t>BCCh 11-ago-2026</t>
        </is>
      </c>
    </row>
    <row r="13">
      <c r="B13" s="6" t="inlineStr">
        <is>
          <t>USD por UF</t>
        </is>
      </c>
      <c r="D13" s="19">
        <f>D12/D11</f>
        <v/>
      </c>
      <c r="E13" s="15" t="inlineStr">
        <is>
          <t>Fórmula</t>
        </is>
      </c>
    </row>
    <row r="14">
      <c r="B14" s="6" t="inlineStr">
        <is>
          <t>Inflación EE.UU. (deflactor)</t>
        </is>
      </c>
      <c r="D14" s="16" t="n">
        <v>0.02</v>
      </c>
      <c r="E14" s="15" t="inlineStr">
        <is>
          <t>Supuesto</t>
        </is>
      </c>
    </row>
    <row r="15">
      <c r="B15" s="3" t="inlineStr">
        <is>
          <t>Objetivos</t>
        </is>
      </c>
    </row>
    <row r="16">
      <c r="B16" s="6" t="inlineStr">
        <is>
          <t>Arancel por hijo (CLP de hoy)</t>
        </is>
      </c>
      <c r="D16" s="20" t="n">
        <v>65000000</v>
      </c>
      <c r="E16" s="15" t="inlineStr">
        <is>
          <t>Enunciado</t>
        </is>
      </c>
    </row>
    <row r="17">
      <c r="B17" s="6" t="inlineStr">
        <is>
          <t>Años de carrera</t>
        </is>
      </c>
      <c r="D17" s="17" t="n">
        <v>5</v>
      </c>
      <c r="E17" s="15" t="inlineStr">
        <is>
          <t>Supuesto: 5 pagos anuales</t>
        </is>
      </c>
    </row>
    <row r="18">
      <c r="B18" s="6" t="inlineStr">
        <is>
          <t>Pago anual por hijo (USD)</t>
        </is>
      </c>
      <c r="D18" s="21">
        <f>D16/D11/D17</f>
        <v/>
      </c>
      <c r="E18" s="15" t="inlineStr">
        <is>
          <t>Fórmula</t>
        </is>
      </c>
    </row>
    <row r="19">
      <c r="B19" s="6" t="inlineStr">
        <is>
          <t>Inicio Vicente (año)</t>
        </is>
      </c>
      <c r="D19" s="17" t="n">
        <v>14</v>
      </c>
      <c r="E19" s="15" t="inlineStr">
        <is>
          <t>Enunciado ~14</t>
        </is>
      </c>
    </row>
    <row r="20">
      <c r="B20" s="6" t="inlineStr">
        <is>
          <t>Inicio Emilia (año)</t>
        </is>
      </c>
      <c r="D20" s="17" t="n">
        <v>16</v>
      </c>
      <c r="E20" s="15" t="inlineStr">
        <is>
          <t>Enunciado ~16</t>
        </is>
      </c>
    </row>
    <row r="21">
      <c r="B21" s="6" t="inlineStr">
        <is>
          <t>Villarrica: desembolso (UF)</t>
        </is>
      </c>
      <c r="D21" s="20" t="n">
        <v>10500</v>
      </c>
      <c r="E21" s="15" t="inlineStr">
        <is>
          <t>Enunciado; UF 15.000 restantes vienen de la venta de la casa (fuera de la cartera)</t>
        </is>
      </c>
    </row>
    <row r="22">
      <c r="B22" s="6" t="inlineStr">
        <is>
          <t>Año Villarrica</t>
        </is>
      </c>
      <c r="D22" s="17" t="n">
        <v>25</v>
      </c>
      <c r="E22" s="15" t="inlineStr">
        <is>
          <t>Francisca cumple 65</t>
        </is>
      </c>
    </row>
    <row r="23">
      <c r="B23" s="6" t="inlineStr">
        <is>
          <t>Herencia (USD de hoy)</t>
        </is>
      </c>
      <c r="D23" s="14" t="n">
        <v>500000</v>
      </c>
      <c r="E23" s="15" t="inlineStr">
        <is>
          <t>USD 250 mil por hijo</t>
        </is>
      </c>
    </row>
    <row r="24">
      <c r="B24" s="6" t="inlineStr">
        <is>
          <t>Año herencia</t>
        </is>
      </c>
      <c r="D24" s="17" t="n">
        <v>50</v>
      </c>
      <c r="E24" s="15" t="inlineStr">
        <is>
          <t>Francisca cumple 90</t>
        </is>
      </c>
    </row>
    <row r="25">
      <c r="B25" s="6" t="inlineStr">
        <is>
          <t>Tasa real libre de riesgo</t>
        </is>
      </c>
      <c r="D25" s="16" t="n">
        <v>0.025</v>
      </c>
      <c r="E25" s="15" t="inlineStr">
        <is>
          <t>Bono 10a EE.UU. ~5,2% − inflación implícita ~2,5%</t>
        </is>
      </c>
    </row>
    <row r="26">
      <c r="B26" s="3" t="inlineStr">
        <is>
          <t>Asignación y gestión activa</t>
        </is>
      </c>
    </row>
    <row r="27">
      <c r="B27" s="6" t="inlineStr">
        <is>
          <t>Núcleo pasivo mínimo</t>
        </is>
      </c>
      <c r="D27" s="16" t="n">
        <v>0.6</v>
      </c>
      <c r="E27" s="15" t="inlineStr">
        <is>
          <t>Política</t>
        </is>
      </c>
    </row>
    <row r="28">
      <c r="B28" s="6" t="inlineStr">
        <is>
          <t>Núcleo pasivo máximo</t>
        </is>
      </c>
      <c r="D28" s="16" t="n">
        <v>0.7</v>
      </c>
      <c r="E28" s="15" t="inlineStr">
        <is>
          <t>Política</t>
        </is>
      </c>
    </row>
    <row r="29">
      <c r="B29" s="6" t="inlineStr">
        <is>
          <t>δ aversión al riesgo (BL)</t>
        </is>
      </c>
      <c r="D29" s="18" t="n">
        <v>2.5</v>
      </c>
      <c r="E29" s="15" t="inlineStr">
        <is>
          <t>Black y Litterman (1992); ver A implícito en 06</t>
        </is>
      </c>
    </row>
    <row r="30">
      <c r="B30" s="6" t="inlineStr">
        <is>
          <t>τ incertidumbre del prior (BL)</t>
        </is>
      </c>
      <c r="D30" s="18" t="n">
        <v>0.05</v>
      </c>
      <c r="E30" s="15" t="inlineStr">
        <is>
          <t>He y Litterman (1999)</t>
        </is>
      </c>
    </row>
    <row r="31">
      <c r="B31" s="6" t="inlineStr">
        <is>
          <t>Alfa objetivo anual</t>
        </is>
      </c>
      <c r="D31" s="16" t="n">
        <v>0.015</v>
      </c>
      <c r="E31" s="15" t="inlineStr">
        <is>
          <t>Presupuesto de riesgo activo</t>
        </is>
      </c>
    </row>
    <row r="32">
      <c r="B32" s="6" t="inlineStr">
        <is>
          <t>Information ratio objetivo</t>
        </is>
      </c>
      <c r="D32" s="18" t="n">
        <v>0.5</v>
      </c>
      <c r="E32" s="15" t="inlineStr">
        <is>
          <t>Grinold y Kahn: 0,5 = bueno</t>
        </is>
      </c>
    </row>
    <row r="33">
      <c r="B33" s="6" t="inlineStr">
        <is>
          <t>TE objetivo = alfa / IR</t>
        </is>
      </c>
      <c r="D33" s="22">
        <f>D31/D32</f>
        <v/>
      </c>
      <c r="E33" s="15" t="inlineStr">
        <is>
          <t>Fórmula</t>
        </is>
      </c>
    </row>
    <row r="34">
      <c r="B34" s="6" t="inlineStr">
        <is>
          <t>TE máximo</t>
        </is>
      </c>
      <c r="D34" s="16" t="n">
        <v>0.04</v>
      </c>
      <c r="E34" s="15" t="inlineStr">
        <is>
          <t>Alfa 2% con IR 0,5</t>
        </is>
      </c>
    </row>
    <row r="35">
      <c r="B35" s="6" t="inlineStr">
        <is>
          <t>Costo de transacción por lado</t>
        </is>
      </c>
      <c r="D35" s="23" t="n">
        <v>0.001</v>
      </c>
      <c r="E35" s="15" t="inlineStr">
        <is>
          <t>Sobre el monto transado</t>
        </is>
      </c>
    </row>
    <row r="37">
      <c r="B37" s="3" t="inlineStr">
        <is>
          <t>Reglas de las estrategias activas</t>
        </is>
      </c>
    </row>
    <row r="38">
      <c r="B38" s="4" t="inlineStr">
        <is>
          <t>Estrategia</t>
        </is>
      </c>
      <c r="C38" s="4" t="inlineStr">
        <is>
          <t>Elemento</t>
        </is>
      </c>
      <c r="D38" s="4" t="inlineStr">
        <is>
          <t>Regla</t>
        </is>
      </c>
    </row>
    <row r="39">
      <c r="B39" s="6" t="inlineStr">
        <is>
          <t>Momentum en acciones</t>
        </is>
      </c>
      <c r="C39" s="6" t="inlineStr">
        <is>
          <t>Universo</t>
        </is>
      </c>
      <c r="D39" s="6" t="inlineStr">
        <is>
          <t>S&amp;P 500 point-in-time</t>
        </is>
      </c>
    </row>
    <row r="40">
      <c r="B40" s="6" t="inlineStr"/>
      <c r="C40" s="6" t="inlineStr">
        <is>
          <t>Filtros</t>
        </is>
      </c>
      <c r="D40" s="6" t="inlineStr">
        <is>
          <t>r3m &gt; 0%, r6m &gt; 5%, r12m &gt; 10%, precio &gt; media 200d, liquidez ≥ USD 5M/día, Sharpe 12m ≥ 0,5 (vol. 12 meses)</t>
        </is>
      </c>
    </row>
    <row r="41">
      <c r="B41" s="6" t="inlineStr"/>
      <c r="C41" s="6" t="inlineStr">
        <is>
          <t>Ranking</t>
        </is>
      </c>
      <c r="D41" s="6" t="inlineStr">
        <is>
          <t>50% percentil r6m + 50% percentil r12m</t>
        </is>
      </c>
    </row>
    <row r="42">
      <c r="B42" s="6" t="inlineStr"/>
      <c r="C42" s="6" t="inlineStr">
        <is>
          <t>Cartera</t>
        </is>
      </c>
      <c r="D42" s="6" t="inlineStr">
        <is>
          <t>Top 10, peso igual, máx. 25% por sector GICS; mensual</t>
        </is>
      </c>
    </row>
    <row r="43">
      <c r="B43" s="6" t="inlineStr">
        <is>
          <t>Low-Volatility</t>
        </is>
      </c>
      <c r="C43" s="6" t="inlineStr">
        <is>
          <t>Universo</t>
        </is>
      </c>
      <c r="D43" s="6" t="inlineStr">
        <is>
          <t>S&amp;P 500 point-in-time; precio ≥ USD 5; liquidez ≥ USD 5M/día</t>
        </is>
      </c>
    </row>
    <row r="44">
      <c r="B44" s="6" t="inlineStr"/>
      <c r="C44" s="6" t="inlineStr">
        <is>
          <t>Ranking</t>
        </is>
      </c>
      <c r="D44" s="6" t="inlineStr">
        <is>
          <t>Menor volatilidad realizada 12 meses</t>
        </is>
      </c>
    </row>
    <row r="45">
      <c r="B45" s="6" t="inlineStr"/>
      <c r="C45" s="6" t="inlineStr">
        <is>
          <t>Cartera</t>
        </is>
      </c>
      <c r="D45" s="6" t="inlineStr">
        <is>
          <t>Top 10, peso igual, máx. 25% por sector GICS; mensual</t>
        </is>
      </c>
    </row>
    <row r="46">
      <c r="B46" s="6" t="inlineStr">
        <is>
          <t>Momentum en commodities</t>
        </is>
      </c>
      <c r="C46" s="6" t="inlineStr">
        <is>
          <t>Universo</t>
        </is>
      </c>
      <c r="D46" s="6" t="inlineStr">
        <is>
          <t>GLD, USO, DBA, SLV, CPER</t>
        </is>
      </c>
    </row>
    <row r="47">
      <c r="B47" s="6" t="inlineStr"/>
      <c r="C47" s="6" t="inlineStr">
        <is>
          <t>Filtros</t>
        </is>
      </c>
      <c r="D47" s="6" t="inlineStr">
        <is>
          <t>r3m &gt; 5%, r6m &gt; 8%, r12m &gt; 10%, precio &gt; media 200d, vol. 12m &lt; 50%</t>
        </is>
      </c>
    </row>
    <row r="48">
      <c r="B48" s="6" t="inlineStr"/>
      <c r="C48" s="6" t="inlineStr">
        <is>
          <t>Cartera</t>
        </is>
      </c>
      <c r="D48" s="6" t="inlineStr">
        <is>
          <t>Todos los que califican, peso igual; sin señal → T-Bills; mensual</t>
        </is>
      </c>
    </row>
    <row r="49">
      <c r="B49" s="6" t="inlineStr">
        <is>
          <t>Comunes</t>
        </is>
      </c>
      <c r="C49" s="6" t="inlineStr">
        <is>
          <t>Ejecución</t>
        </is>
      </c>
      <c r="D49" s="6" t="inlineStr">
        <is>
          <t>Señal al cierre del mes t, retorno desde t+1 (sin anticipación); costo 0,1% por lado</t>
        </is>
      </c>
    </row>
    <row r="51">
      <c r="B51" s="3" t="inlineStr">
        <is>
          <t>Supuestos de mercado prospectivos (retornos reales anuales)</t>
        </is>
      </c>
    </row>
    <row r="52">
      <c r="B52" s="4" t="inlineStr">
        <is>
          <t>Activo</t>
        </is>
      </c>
      <c r="C52" s="4" t="inlineStr">
        <is>
          <t>Retorno real anual supuesto</t>
        </is>
      </c>
    </row>
    <row r="53">
      <c r="B53" s="24" t="inlineStr">
        <is>
          <t>SPY</t>
        </is>
      </c>
      <c r="C53" s="16" t="n">
        <v>0.05</v>
      </c>
    </row>
    <row r="54">
      <c r="B54" s="24" t="inlineStr">
        <is>
          <t>TLH</t>
        </is>
      </c>
      <c r="C54" s="16" t="n">
        <v>0.026</v>
      </c>
    </row>
    <row r="55">
      <c r="B55" s="24" t="inlineStr">
        <is>
          <t>VCLT</t>
        </is>
      </c>
      <c r="C55" s="16" t="n">
        <v>0.032</v>
      </c>
    </row>
    <row r="56">
      <c r="B56" s="24" t="inlineStr">
        <is>
          <t>MOM_CMD</t>
        </is>
      </c>
      <c r="C56" s="16" t="n">
        <v>0.02</v>
      </c>
    </row>
    <row r="57">
      <c r="B57" s="24" t="inlineStr">
        <is>
          <t>MOM_EQ</t>
        </is>
      </c>
      <c r="C57" s="16" t="n">
        <v>0.055</v>
      </c>
    </row>
    <row r="58">
      <c r="B58" s="24" t="inlineStr">
        <is>
          <t>LOW_VOL</t>
        </is>
      </c>
      <c r="C58" s="16" t="n">
        <v>0.045</v>
      </c>
    </row>
    <row r="59">
      <c r="B59" s="24" t="inlineStr">
        <is>
          <t>EFA</t>
        </is>
      </c>
      <c r="C59" s="16" t="n">
        <v>0.055</v>
      </c>
    </row>
    <row r="60">
      <c r="B60" s="24" t="inlineStr">
        <is>
          <t>BONOS_GLOBAL</t>
        </is>
      </c>
      <c r="C60" s="16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1" customWidth="1" min="3" max="3"/>
    <col width="13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52" customWidth="1" min="13" max="13"/>
    <col width="16" customWidth="1" min="14" max="14"/>
    <col width="14" customWidth="1" min="15" max="15"/>
    <col width="12" customWidth="1" min="16" max="16"/>
    <col width="16" customWidth="1" min="17" max="17"/>
  </cols>
  <sheetData>
    <row r="2">
      <c r="B2" s="1" t="inlineStr">
        <is>
          <t>Objetivos, flujos y TIR real requerida</t>
        </is>
      </c>
    </row>
    <row r="3">
      <c r="B3" s="2" t="inlineStr">
        <is>
          <t>USD reales de hoy. Entradas positivas, desembolsos negativos. Fórmulas vinculadas a 01_Supuestos.</t>
        </is>
      </c>
    </row>
    <row r="5">
      <c r="B5" s="11" t="inlineStr">
        <is>
          <t>Indicador</t>
        </is>
      </c>
      <c r="D5" s="11" t="inlineStr">
        <is>
          <t>Valor</t>
        </is>
      </c>
      <c r="M5" s="25" t="inlineStr">
        <is>
          <t>Escenarios de TIR (Python, objetivos.py)</t>
        </is>
      </c>
    </row>
    <row r="6">
      <c r="B6" s="6" t="inlineStr">
        <is>
          <t>VP recursos a tasa libre de riesgo</t>
        </is>
      </c>
      <c r="D6" s="21">
        <f>NPV('01_Supuestos'!$D$25,E14:E63)+E13</f>
        <v/>
      </c>
      <c r="M6" s="4" t="inlineStr">
        <is>
          <t>Escenario</t>
        </is>
      </c>
      <c r="N6" s="4" t="inlineStr">
        <is>
          <t>TIR real requerida</t>
        </is>
      </c>
    </row>
    <row r="7">
      <c r="B7" s="6" t="inlineStr">
        <is>
          <t>VP objetivos a tasa libre de riesgo</t>
        </is>
      </c>
      <c r="D7" s="21">
        <f>-(NPV('01_Supuestos'!$D$25,J14:J63)+J13)</f>
        <v/>
      </c>
      <c r="M7" s="26" t="inlineStr">
        <is>
          <t>Base: flujos del enunciado (19 aportes reales)</t>
        </is>
      </c>
      <c r="N7" s="27" t="n">
        <v>0.04653130500365561</v>
      </c>
    </row>
    <row r="8">
      <c r="B8" s="11" t="inlineStr">
        <is>
          <t>TIR real requerida (IRR de los flujos netos)</t>
        </is>
      </c>
      <c r="D8" s="28">
        <f>IRR(K13:K63,0.04)</f>
        <v/>
      </c>
      <c r="M8" s="26" t="inlineStr">
        <is>
          <t>14 aportes efectivos (riesgo de empleo)</t>
        </is>
      </c>
      <c r="N8" s="27" t="n">
        <v>0.05034109182863089</v>
      </c>
    </row>
    <row r="9">
      <c r="B9" s="6" t="inlineStr">
        <is>
          <t>Cobertura (recursos / objetivos)</t>
        </is>
      </c>
      <c r="D9" s="29">
        <f>D6/D7</f>
        <v/>
      </c>
      <c r="M9" s="26" t="inlineStr">
        <is>
          <t>Aportes en USD nominales (inflación 2,5%)</t>
        </is>
      </c>
      <c r="N9" s="27" t="n">
        <v>0.05040198647251756</v>
      </c>
    </row>
    <row r="10">
      <c r="M10" s="26" t="inlineStr">
        <is>
          <t>Arancel crece 2% real anual</t>
        </is>
      </c>
      <c r="N10" s="27" t="n">
        <v>0.05085108572178737</v>
      </c>
    </row>
    <row r="11">
      <c r="M11" s="26" t="inlineStr">
        <is>
          <t>Aportes nominales + arancel +2% real</t>
        </is>
      </c>
      <c r="N11" s="27" t="n">
        <v>0.0548303552432743</v>
      </c>
    </row>
    <row r="12">
      <c r="B12" s="4" t="inlineStr">
        <is>
          <t>Año</t>
        </is>
      </c>
      <c r="C12" s="4" t="inlineStr">
        <is>
          <t>Capital</t>
        </is>
      </c>
      <c r="D12" s="4" t="inlineStr">
        <is>
          <t>Aporte</t>
        </is>
      </c>
      <c r="E12" s="4" t="inlineStr">
        <is>
          <t>Entradas</t>
        </is>
      </c>
      <c r="F12" s="4" t="inlineStr">
        <is>
          <t>Educ. Vicente</t>
        </is>
      </c>
      <c r="G12" s="4" t="inlineStr">
        <is>
          <t>Educ. Emilia</t>
        </is>
      </c>
      <c r="H12" s="4" t="inlineStr">
        <is>
          <t>Villarrica</t>
        </is>
      </c>
      <c r="I12" s="4" t="inlineStr">
        <is>
          <t>Herencia</t>
        </is>
      </c>
      <c r="J12" s="4" t="inlineStr">
        <is>
          <t>Salidas</t>
        </is>
      </c>
      <c r="K12" s="4" t="inlineStr">
        <is>
          <t>Flujo neto</t>
        </is>
      </c>
      <c r="M12" s="26" t="inlineStr">
        <is>
          <t>Lo anterior con 14 aportes</t>
        </is>
      </c>
      <c r="N12" s="27" t="n">
        <v>0.05740907235642809</v>
      </c>
    </row>
    <row r="13">
      <c r="B13" s="30" t="n">
        <v>0</v>
      </c>
      <c r="C13" s="21">
        <f>IF(B13=0,'01_Supuestos'!$D$7*(1-'01_Supuestos'!$D$8),0)</f>
        <v/>
      </c>
      <c r="D13" s="21">
        <f>IF(AND(B13&gt;=1,B13&lt;='01_Supuestos'!$D$10),'01_Supuestos'!$D$9,0)</f>
        <v/>
      </c>
      <c r="E13" s="21">
        <f>C13+D13</f>
        <v/>
      </c>
      <c r="F13" s="21">
        <f>IF(AND(B13&gt;='01_Supuestos'!$D$19,B13&lt;'01_Supuestos'!$D$19+'01_Supuestos'!$D$17),-'01_Supuestos'!$D$18,0)</f>
        <v/>
      </c>
      <c r="G13" s="21">
        <f>IF(AND(B13&gt;='01_Supuestos'!$D$20,B13&lt;'01_Supuestos'!$D$20+'01_Supuestos'!$D$17),-'01_Supuestos'!$D$18,0)</f>
        <v/>
      </c>
      <c r="H13" s="21">
        <f>IF(B13='01_Supuestos'!$D$22,-'01_Supuestos'!$D$21*'01_Supuestos'!$D$13,0)</f>
        <v/>
      </c>
      <c r="I13" s="21">
        <f>IF(B13='01_Supuestos'!$D$24,-'01_Supuestos'!$D$23,0)</f>
        <v/>
      </c>
      <c r="J13" s="21">
        <f>SUM(F13:I13)</f>
        <v/>
      </c>
      <c r="K13" s="21">
        <f>E13+J13</f>
        <v/>
      </c>
      <c r="M13" s="26" t="inlineStr">
        <is>
          <t>Palanca: herencia USD 250 mil</t>
        </is>
      </c>
      <c r="N13" s="27" t="n">
        <v>0.04165024480575189</v>
      </c>
    </row>
    <row r="14">
      <c r="B14" s="30" t="n">
        <v>1</v>
      </c>
      <c r="C14" s="21">
        <f>IF(B14=0,'01_Supuestos'!$D$7*(1-'01_Supuestos'!$D$8),0)</f>
        <v/>
      </c>
      <c r="D14" s="21">
        <f>IF(AND(B14&gt;=1,B14&lt;='01_Supuestos'!$D$10),'01_Supuestos'!$D$9,0)</f>
        <v/>
      </c>
      <c r="E14" s="21">
        <f>C14+D14</f>
        <v/>
      </c>
      <c r="F14" s="21">
        <f>IF(AND(B14&gt;='01_Supuestos'!$D$19,B14&lt;'01_Supuestos'!$D$19+'01_Supuestos'!$D$17),-'01_Supuestos'!$D$18,0)</f>
        <v/>
      </c>
      <c r="G14" s="21">
        <f>IF(AND(B14&gt;='01_Supuestos'!$D$20,B14&lt;'01_Supuestos'!$D$20+'01_Supuestos'!$D$17),-'01_Supuestos'!$D$18,0)</f>
        <v/>
      </c>
      <c r="H14" s="21">
        <f>IF(B14='01_Supuestos'!$D$22,-'01_Supuestos'!$D$21*'01_Supuestos'!$D$13,0)</f>
        <v/>
      </c>
      <c r="I14" s="21">
        <f>IF(B14='01_Supuestos'!$D$24,-'01_Supuestos'!$D$23,0)</f>
        <v/>
      </c>
      <c r="J14" s="21">
        <f>SUM(F14:I14)</f>
        <v/>
      </c>
      <c r="K14" s="21">
        <f>E14+J14</f>
        <v/>
      </c>
      <c r="M14" s="26" t="inlineStr">
        <is>
          <t>Palanca: Villarrica -25%</t>
        </is>
      </c>
      <c r="N14" s="27" t="n">
        <v>0.04010861685587032</v>
      </c>
    </row>
    <row r="15">
      <c r="B15" s="30" t="n">
        <v>2</v>
      </c>
      <c r="C15" s="21">
        <f>IF(B15=0,'01_Supuestos'!$D$7*(1-'01_Supuestos'!$D$8),0)</f>
        <v/>
      </c>
      <c r="D15" s="21">
        <f>IF(AND(B15&gt;=1,B15&lt;='01_Supuestos'!$D$10),'01_Supuestos'!$D$9,0)</f>
        <v/>
      </c>
      <c r="E15" s="21">
        <f>C15+D15</f>
        <v/>
      </c>
      <c r="F15" s="21">
        <f>IF(AND(B15&gt;='01_Supuestos'!$D$19,B15&lt;'01_Supuestos'!$D$19+'01_Supuestos'!$D$17),-'01_Supuestos'!$D$18,0)</f>
        <v/>
      </c>
      <c r="G15" s="21">
        <f>IF(AND(B15&gt;='01_Supuestos'!$D$20,B15&lt;'01_Supuestos'!$D$20+'01_Supuestos'!$D$17),-'01_Supuestos'!$D$18,0)</f>
        <v/>
      </c>
      <c r="H15" s="21">
        <f>IF(B15='01_Supuestos'!$D$22,-'01_Supuestos'!$D$21*'01_Supuestos'!$D$13,0)</f>
        <v/>
      </c>
      <c r="I15" s="21">
        <f>IF(B15='01_Supuestos'!$D$24,-'01_Supuestos'!$D$23,0)</f>
        <v/>
      </c>
      <c r="J15" s="21">
        <f>SUM(F15:I15)</f>
        <v/>
      </c>
      <c r="K15" s="21">
        <f>E15+J15</f>
        <v/>
      </c>
      <c r="M15" s="26" t="inlineStr">
        <is>
          <t>Palanca: ambas</t>
        </is>
      </c>
      <c r="N15" s="27" t="n">
        <v>0.03375724729087864</v>
      </c>
    </row>
    <row r="16">
      <c r="B16" s="30" t="n">
        <v>3</v>
      </c>
      <c r="C16" s="21">
        <f>IF(B16=0,'01_Supuestos'!$D$7*(1-'01_Supuestos'!$D$8),0)</f>
        <v/>
      </c>
      <c r="D16" s="21">
        <f>IF(AND(B16&gt;=1,B16&lt;='01_Supuestos'!$D$10),'01_Supuestos'!$D$9,0)</f>
        <v/>
      </c>
      <c r="E16" s="21">
        <f>C16+D16</f>
        <v/>
      </c>
      <c r="F16" s="21">
        <f>IF(AND(B16&gt;='01_Supuestos'!$D$19,B16&lt;'01_Supuestos'!$D$19+'01_Supuestos'!$D$17),-'01_Supuestos'!$D$18,0)</f>
        <v/>
      </c>
      <c r="G16" s="21">
        <f>IF(AND(B16&gt;='01_Supuestos'!$D$20,B16&lt;'01_Supuestos'!$D$20+'01_Supuestos'!$D$17),-'01_Supuestos'!$D$18,0)</f>
        <v/>
      </c>
      <c r="H16" s="21">
        <f>IF(B16='01_Supuestos'!$D$22,-'01_Supuestos'!$D$21*'01_Supuestos'!$D$13,0)</f>
        <v/>
      </c>
      <c r="I16" s="21">
        <f>IF(B16='01_Supuestos'!$D$24,-'01_Supuestos'!$D$23,0)</f>
        <v/>
      </c>
      <c r="J16" s="21">
        <f>SUM(F16:I16)</f>
        <v/>
      </c>
      <c r="K16" s="21">
        <f>E16+J16</f>
        <v/>
      </c>
    </row>
    <row r="17">
      <c r="B17" s="30" t="n">
        <v>4</v>
      </c>
      <c r="C17" s="21">
        <f>IF(B17=0,'01_Supuestos'!$D$7*(1-'01_Supuestos'!$D$8),0)</f>
        <v/>
      </c>
      <c r="D17" s="21">
        <f>IF(AND(B17&gt;=1,B17&lt;='01_Supuestos'!$D$10),'01_Supuestos'!$D$9,0)</f>
        <v/>
      </c>
      <c r="E17" s="21">
        <f>C17+D17</f>
        <v/>
      </c>
      <c r="F17" s="21">
        <f>IF(AND(B17&gt;='01_Supuestos'!$D$19,B17&lt;'01_Supuestos'!$D$19+'01_Supuestos'!$D$17),-'01_Supuestos'!$D$18,0)</f>
        <v/>
      </c>
      <c r="G17" s="21">
        <f>IF(AND(B17&gt;='01_Supuestos'!$D$20,B17&lt;'01_Supuestos'!$D$20+'01_Supuestos'!$D$17),-'01_Supuestos'!$D$18,0)</f>
        <v/>
      </c>
      <c r="H17" s="21">
        <f>IF(B17='01_Supuestos'!$D$22,-'01_Supuestos'!$D$21*'01_Supuestos'!$D$13,0)</f>
        <v/>
      </c>
      <c r="I17" s="21">
        <f>IF(B17='01_Supuestos'!$D$24,-'01_Supuestos'!$D$23,0)</f>
        <v/>
      </c>
      <c r="J17" s="21">
        <f>SUM(F17:I17)</f>
        <v/>
      </c>
      <c r="K17" s="21">
        <f>E17+J17</f>
        <v/>
      </c>
    </row>
    <row r="18">
      <c r="B18" s="30" t="n">
        <v>5</v>
      </c>
      <c r="C18" s="21">
        <f>IF(B18=0,'01_Supuestos'!$D$7*(1-'01_Supuestos'!$D$8),0)</f>
        <v/>
      </c>
      <c r="D18" s="21">
        <f>IF(AND(B18&gt;=1,B18&lt;='01_Supuestos'!$D$10),'01_Supuestos'!$D$9,0)</f>
        <v/>
      </c>
      <c r="E18" s="21">
        <f>C18+D18</f>
        <v/>
      </c>
      <c r="F18" s="21">
        <f>IF(AND(B18&gt;='01_Supuestos'!$D$19,B18&lt;'01_Supuestos'!$D$19+'01_Supuestos'!$D$17),-'01_Supuestos'!$D$18,0)</f>
        <v/>
      </c>
      <c r="G18" s="21">
        <f>IF(AND(B18&gt;='01_Supuestos'!$D$20,B18&lt;'01_Supuestos'!$D$20+'01_Supuestos'!$D$17),-'01_Supuestos'!$D$18,0)</f>
        <v/>
      </c>
      <c r="H18" s="21">
        <f>IF(B18='01_Supuestos'!$D$22,-'01_Supuestos'!$D$21*'01_Supuestos'!$D$13,0)</f>
        <v/>
      </c>
      <c r="I18" s="21">
        <f>IF(B18='01_Supuestos'!$D$24,-'01_Supuestos'!$D$23,0)</f>
        <v/>
      </c>
      <c r="J18" s="21">
        <f>SUM(F18:I18)</f>
        <v/>
      </c>
      <c r="K18" s="21">
        <f>E18+J18</f>
        <v/>
      </c>
      <c r="M18" s="25" t="inlineStr">
        <is>
          <t>Plan de desembolsos</t>
        </is>
      </c>
    </row>
    <row r="19">
      <c r="B19" s="30" t="n">
        <v>6</v>
      </c>
      <c r="C19" s="21">
        <f>IF(B19=0,'01_Supuestos'!$D$7*(1-'01_Supuestos'!$D$8),0)</f>
        <v/>
      </c>
      <c r="D19" s="21">
        <f>IF(AND(B19&gt;=1,B19&lt;='01_Supuestos'!$D$10),'01_Supuestos'!$D$9,0)</f>
        <v/>
      </c>
      <c r="E19" s="21">
        <f>C19+D19</f>
        <v/>
      </c>
      <c r="F19" s="21">
        <f>IF(AND(B19&gt;='01_Supuestos'!$D$19,B19&lt;'01_Supuestos'!$D$19+'01_Supuestos'!$D$17),-'01_Supuestos'!$D$18,0)</f>
        <v/>
      </c>
      <c r="G19" s="21">
        <f>IF(AND(B19&gt;='01_Supuestos'!$D$20,B19&lt;'01_Supuestos'!$D$20+'01_Supuestos'!$D$17),-'01_Supuestos'!$D$18,0)</f>
        <v/>
      </c>
      <c r="H19" s="21">
        <f>IF(B19='01_Supuestos'!$D$22,-'01_Supuestos'!$D$21*'01_Supuestos'!$D$13,0)</f>
        <v/>
      </c>
      <c r="I19" s="21">
        <f>IF(B19='01_Supuestos'!$D$24,-'01_Supuestos'!$D$23,0)</f>
        <v/>
      </c>
      <c r="J19" s="21">
        <f>SUM(F19:I19)</f>
        <v/>
      </c>
      <c r="K19" s="21">
        <f>E19+J19</f>
        <v/>
      </c>
      <c r="M19" s="4" t="inlineStr">
        <is>
          <t>Año</t>
        </is>
      </c>
      <c r="N19" s="4" t="inlineStr">
        <is>
          <t>Concepto</t>
        </is>
      </c>
      <c r="O19" s="4" t="inlineStr">
        <is>
          <t>USD reales</t>
        </is>
      </c>
      <c r="P19" s="4" t="inlineStr">
        <is>
          <t>UF</t>
        </is>
      </c>
      <c r="Q19" s="4" t="inlineStr">
        <is>
          <t>CLP de hoy</t>
        </is>
      </c>
    </row>
    <row r="20">
      <c r="B20" s="30" t="n">
        <v>7</v>
      </c>
      <c r="C20" s="21">
        <f>IF(B20=0,'01_Supuestos'!$D$7*(1-'01_Supuestos'!$D$8),0)</f>
        <v/>
      </c>
      <c r="D20" s="21">
        <f>IF(AND(B20&gt;=1,B20&lt;='01_Supuestos'!$D$10),'01_Supuestos'!$D$9,0)</f>
        <v/>
      </c>
      <c r="E20" s="21">
        <f>C20+D20</f>
        <v/>
      </c>
      <c r="F20" s="21">
        <f>IF(AND(B20&gt;='01_Supuestos'!$D$19,B20&lt;'01_Supuestos'!$D$19+'01_Supuestos'!$D$17),-'01_Supuestos'!$D$18,0)</f>
        <v/>
      </c>
      <c r="G20" s="21">
        <f>IF(AND(B20&gt;='01_Supuestos'!$D$20,B20&lt;'01_Supuestos'!$D$20+'01_Supuestos'!$D$17),-'01_Supuestos'!$D$18,0)</f>
        <v/>
      </c>
      <c r="H20" s="21">
        <f>IF(B20='01_Supuestos'!$D$22,-'01_Supuestos'!$D$21*'01_Supuestos'!$D$13,0)</f>
        <v/>
      </c>
      <c r="I20" s="21">
        <f>IF(B20='01_Supuestos'!$D$24,-'01_Supuestos'!$D$23,0)</f>
        <v/>
      </c>
      <c r="J20" s="21">
        <f>SUM(F20:I20)</f>
        <v/>
      </c>
      <c r="K20" s="21">
        <f>E20+J20</f>
        <v/>
      </c>
      <c r="M20" s="31" t="n">
        <v>14</v>
      </c>
      <c r="N20" s="26" t="inlineStr">
        <is>
          <t>Educación</t>
        </is>
      </c>
      <c r="O20" s="32" t="n">
        <v>14257.98172784803</v>
      </c>
      <c r="P20" s="33" t="n">
        <v>318.2686187141948</v>
      </c>
      <c r="Q20" s="34" t="n">
        <v>13000000</v>
      </c>
    </row>
    <row r="21">
      <c r="B21" s="30" t="n">
        <v>8</v>
      </c>
      <c r="C21" s="21">
        <f>IF(B21=0,'01_Supuestos'!$D$7*(1-'01_Supuestos'!$D$8),0)</f>
        <v/>
      </c>
      <c r="D21" s="21">
        <f>IF(AND(B21&gt;=1,B21&lt;='01_Supuestos'!$D$10),'01_Supuestos'!$D$9,0)</f>
        <v/>
      </c>
      <c r="E21" s="21">
        <f>C21+D21</f>
        <v/>
      </c>
      <c r="F21" s="21">
        <f>IF(AND(B21&gt;='01_Supuestos'!$D$19,B21&lt;'01_Supuestos'!$D$19+'01_Supuestos'!$D$17),-'01_Supuestos'!$D$18,0)</f>
        <v/>
      </c>
      <c r="G21" s="21">
        <f>IF(AND(B21&gt;='01_Supuestos'!$D$20,B21&lt;'01_Supuestos'!$D$20+'01_Supuestos'!$D$17),-'01_Supuestos'!$D$18,0)</f>
        <v/>
      </c>
      <c r="H21" s="21">
        <f>IF(B21='01_Supuestos'!$D$22,-'01_Supuestos'!$D$21*'01_Supuestos'!$D$13,0)</f>
        <v/>
      </c>
      <c r="I21" s="21">
        <f>IF(B21='01_Supuestos'!$D$24,-'01_Supuestos'!$D$23,0)</f>
        <v/>
      </c>
      <c r="J21" s="21">
        <f>SUM(F21:I21)</f>
        <v/>
      </c>
      <c r="K21" s="21">
        <f>E21+J21</f>
        <v/>
      </c>
      <c r="M21" s="31" t="n">
        <v>15</v>
      </c>
      <c r="N21" s="26" t="inlineStr">
        <is>
          <t>Educación</t>
        </is>
      </c>
      <c r="O21" s="32" t="n">
        <v>14257.98172784803</v>
      </c>
      <c r="P21" s="33" t="n">
        <v>318.2686187141948</v>
      </c>
      <c r="Q21" s="34" t="n">
        <v>13000000</v>
      </c>
    </row>
    <row r="22">
      <c r="B22" s="30" t="n">
        <v>9</v>
      </c>
      <c r="C22" s="21">
        <f>IF(B22=0,'01_Supuestos'!$D$7*(1-'01_Supuestos'!$D$8),0)</f>
        <v/>
      </c>
      <c r="D22" s="21">
        <f>IF(AND(B22&gt;=1,B22&lt;='01_Supuestos'!$D$10),'01_Supuestos'!$D$9,0)</f>
        <v/>
      </c>
      <c r="E22" s="21">
        <f>C22+D22</f>
        <v/>
      </c>
      <c r="F22" s="21">
        <f>IF(AND(B22&gt;='01_Supuestos'!$D$19,B22&lt;'01_Supuestos'!$D$19+'01_Supuestos'!$D$17),-'01_Supuestos'!$D$18,0)</f>
        <v/>
      </c>
      <c r="G22" s="21">
        <f>IF(AND(B22&gt;='01_Supuestos'!$D$20,B22&lt;'01_Supuestos'!$D$20+'01_Supuestos'!$D$17),-'01_Supuestos'!$D$18,0)</f>
        <v/>
      </c>
      <c r="H22" s="21">
        <f>IF(B22='01_Supuestos'!$D$22,-'01_Supuestos'!$D$21*'01_Supuestos'!$D$13,0)</f>
        <v/>
      </c>
      <c r="I22" s="21">
        <f>IF(B22='01_Supuestos'!$D$24,-'01_Supuestos'!$D$23,0)</f>
        <v/>
      </c>
      <c r="J22" s="21">
        <f>SUM(F22:I22)</f>
        <v/>
      </c>
      <c r="K22" s="21">
        <f>E22+J22</f>
        <v/>
      </c>
      <c r="M22" s="31" t="n">
        <v>16</v>
      </c>
      <c r="N22" s="26" t="inlineStr">
        <is>
          <t>Educación</t>
        </is>
      </c>
      <c r="O22" s="32" t="n">
        <v>28515.96345569607</v>
      </c>
      <c r="P22" s="33" t="n">
        <v>636.5372374283896</v>
      </c>
      <c r="Q22" s="34" t="n">
        <v>26000000</v>
      </c>
    </row>
    <row r="23">
      <c r="B23" s="30" t="n">
        <v>10</v>
      </c>
      <c r="C23" s="21">
        <f>IF(B23=0,'01_Supuestos'!$D$7*(1-'01_Supuestos'!$D$8),0)</f>
        <v/>
      </c>
      <c r="D23" s="21">
        <f>IF(AND(B23&gt;=1,B23&lt;='01_Supuestos'!$D$10),'01_Supuestos'!$D$9,0)</f>
        <v/>
      </c>
      <c r="E23" s="21">
        <f>C23+D23</f>
        <v/>
      </c>
      <c r="F23" s="21">
        <f>IF(AND(B23&gt;='01_Supuestos'!$D$19,B23&lt;'01_Supuestos'!$D$19+'01_Supuestos'!$D$17),-'01_Supuestos'!$D$18,0)</f>
        <v/>
      </c>
      <c r="G23" s="21">
        <f>IF(AND(B23&gt;='01_Supuestos'!$D$20,B23&lt;'01_Supuestos'!$D$20+'01_Supuestos'!$D$17),-'01_Supuestos'!$D$18,0)</f>
        <v/>
      </c>
      <c r="H23" s="21">
        <f>IF(B23='01_Supuestos'!$D$22,-'01_Supuestos'!$D$21*'01_Supuestos'!$D$13,0)</f>
        <v/>
      </c>
      <c r="I23" s="21">
        <f>IF(B23='01_Supuestos'!$D$24,-'01_Supuestos'!$D$23,0)</f>
        <v/>
      </c>
      <c r="J23" s="21">
        <f>SUM(F23:I23)</f>
        <v/>
      </c>
      <c r="K23" s="21">
        <f>E23+J23</f>
        <v/>
      </c>
      <c r="M23" s="31" t="n">
        <v>17</v>
      </c>
      <c r="N23" s="26" t="inlineStr">
        <is>
          <t>Educación</t>
        </is>
      </c>
      <c r="O23" s="32" t="n">
        <v>28515.96345569607</v>
      </c>
      <c r="P23" s="33" t="n">
        <v>636.5372374283896</v>
      </c>
      <c r="Q23" s="34" t="n">
        <v>26000000</v>
      </c>
    </row>
    <row r="24">
      <c r="B24" s="30" t="n">
        <v>11</v>
      </c>
      <c r="C24" s="21">
        <f>IF(B24=0,'01_Supuestos'!$D$7*(1-'01_Supuestos'!$D$8),0)</f>
        <v/>
      </c>
      <c r="D24" s="21">
        <f>IF(AND(B24&gt;=1,B24&lt;='01_Supuestos'!$D$10),'01_Supuestos'!$D$9,0)</f>
        <v/>
      </c>
      <c r="E24" s="21">
        <f>C24+D24</f>
        <v/>
      </c>
      <c r="F24" s="21">
        <f>IF(AND(B24&gt;='01_Supuestos'!$D$19,B24&lt;'01_Supuestos'!$D$19+'01_Supuestos'!$D$17),-'01_Supuestos'!$D$18,0)</f>
        <v/>
      </c>
      <c r="G24" s="21">
        <f>IF(AND(B24&gt;='01_Supuestos'!$D$20,B24&lt;'01_Supuestos'!$D$20+'01_Supuestos'!$D$17),-'01_Supuestos'!$D$18,0)</f>
        <v/>
      </c>
      <c r="H24" s="21">
        <f>IF(B24='01_Supuestos'!$D$22,-'01_Supuestos'!$D$21*'01_Supuestos'!$D$13,0)</f>
        <v/>
      </c>
      <c r="I24" s="21">
        <f>IF(B24='01_Supuestos'!$D$24,-'01_Supuestos'!$D$23,0)</f>
        <v/>
      </c>
      <c r="J24" s="21">
        <f>SUM(F24:I24)</f>
        <v/>
      </c>
      <c r="K24" s="21">
        <f>E24+J24</f>
        <v/>
      </c>
      <c r="M24" s="31" t="n">
        <v>18</v>
      </c>
      <c r="N24" s="26" t="inlineStr">
        <is>
          <t>Educación</t>
        </is>
      </c>
      <c r="O24" s="32" t="n">
        <v>28515.96345569607</v>
      </c>
      <c r="P24" s="33" t="n">
        <v>636.5372374283896</v>
      </c>
      <c r="Q24" s="34" t="n">
        <v>26000000</v>
      </c>
    </row>
    <row r="25">
      <c r="B25" s="30" t="n">
        <v>12</v>
      </c>
      <c r="C25" s="21">
        <f>IF(B25=0,'01_Supuestos'!$D$7*(1-'01_Supuestos'!$D$8),0)</f>
        <v/>
      </c>
      <c r="D25" s="21">
        <f>IF(AND(B25&gt;=1,B25&lt;='01_Supuestos'!$D$10),'01_Supuestos'!$D$9,0)</f>
        <v/>
      </c>
      <c r="E25" s="21">
        <f>C25+D25</f>
        <v/>
      </c>
      <c r="F25" s="21">
        <f>IF(AND(B25&gt;='01_Supuestos'!$D$19,B25&lt;'01_Supuestos'!$D$19+'01_Supuestos'!$D$17),-'01_Supuestos'!$D$18,0)</f>
        <v/>
      </c>
      <c r="G25" s="21">
        <f>IF(AND(B25&gt;='01_Supuestos'!$D$20,B25&lt;'01_Supuestos'!$D$20+'01_Supuestos'!$D$17),-'01_Supuestos'!$D$18,0)</f>
        <v/>
      </c>
      <c r="H25" s="21">
        <f>IF(B25='01_Supuestos'!$D$22,-'01_Supuestos'!$D$21*'01_Supuestos'!$D$13,0)</f>
        <v/>
      </c>
      <c r="I25" s="21">
        <f>IF(B25='01_Supuestos'!$D$24,-'01_Supuestos'!$D$23,0)</f>
        <v/>
      </c>
      <c r="J25" s="21">
        <f>SUM(F25:I25)</f>
        <v/>
      </c>
      <c r="K25" s="21">
        <f>E25+J25</f>
        <v/>
      </c>
      <c r="M25" s="31" t="n">
        <v>19</v>
      </c>
      <c r="N25" s="26" t="inlineStr">
        <is>
          <t>Educación</t>
        </is>
      </c>
      <c r="O25" s="32" t="n">
        <v>14257.98172784803</v>
      </c>
      <c r="P25" s="33" t="n">
        <v>318.2686187141948</v>
      </c>
      <c r="Q25" s="34" t="n">
        <v>13000000</v>
      </c>
    </row>
    <row r="26">
      <c r="B26" s="30" t="n">
        <v>13</v>
      </c>
      <c r="C26" s="21">
        <f>IF(B26=0,'01_Supuestos'!$D$7*(1-'01_Supuestos'!$D$8),0)</f>
        <v/>
      </c>
      <c r="D26" s="21">
        <f>IF(AND(B26&gt;=1,B26&lt;='01_Supuestos'!$D$10),'01_Supuestos'!$D$9,0)</f>
        <v/>
      </c>
      <c r="E26" s="21">
        <f>C26+D26</f>
        <v/>
      </c>
      <c r="F26" s="21">
        <f>IF(AND(B26&gt;='01_Supuestos'!$D$19,B26&lt;'01_Supuestos'!$D$19+'01_Supuestos'!$D$17),-'01_Supuestos'!$D$18,0)</f>
        <v/>
      </c>
      <c r="G26" s="21">
        <f>IF(AND(B26&gt;='01_Supuestos'!$D$20,B26&lt;'01_Supuestos'!$D$20+'01_Supuestos'!$D$17),-'01_Supuestos'!$D$18,0)</f>
        <v/>
      </c>
      <c r="H26" s="21">
        <f>IF(B26='01_Supuestos'!$D$22,-'01_Supuestos'!$D$21*'01_Supuestos'!$D$13,0)</f>
        <v/>
      </c>
      <c r="I26" s="21">
        <f>IF(B26='01_Supuestos'!$D$24,-'01_Supuestos'!$D$23,0)</f>
        <v/>
      </c>
      <c r="J26" s="21">
        <f>SUM(F26:I26)</f>
        <v/>
      </c>
      <c r="K26" s="21">
        <f>E26+J26</f>
        <v/>
      </c>
      <c r="M26" s="31" t="n">
        <v>20</v>
      </c>
      <c r="N26" s="26" t="inlineStr">
        <is>
          <t>Educación</t>
        </is>
      </c>
      <c r="O26" s="32" t="n">
        <v>14257.98172784803</v>
      </c>
      <c r="P26" s="33" t="n">
        <v>318.2686187141948</v>
      </c>
      <c r="Q26" s="34" t="n">
        <v>13000000</v>
      </c>
    </row>
    <row r="27">
      <c r="B27" s="30" t="n">
        <v>14</v>
      </c>
      <c r="C27" s="21">
        <f>IF(B27=0,'01_Supuestos'!$D$7*(1-'01_Supuestos'!$D$8),0)</f>
        <v/>
      </c>
      <c r="D27" s="21">
        <f>IF(AND(B27&gt;=1,B27&lt;='01_Supuestos'!$D$10),'01_Supuestos'!$D$9,0)</f>
        <v/>
      </c>
      <c r="E27" s="21">
        <f>C27+D27</f>
        <v/>
      </c>
      <c r="F27" s="21">
        <f>IF(AND(B27&gt;='01_Supuestos'!$D$19,B27&lt;'01_Supuestos'!$D$19+'01_Supuestos'!$D$17),-'01_Supuestos'!$D$18,0)</f>
        <v/>
      </c>
      <c r="G27" s="21">
        <f>IF(AND(B27&gt;='01_Supuestos'!$D$20,B27&lt;'01_Supuestos'!$D$20+'01_Supuestos'!$D$17),-'01_Supuestos'!$D$18,0)</f>
        <v/>
      </c>
      <c r="H27" s="21">
        <f>IF(B27='01_Supuestos'!$D$22,-'01_Supuestos'!$D$21*'01_Supuestos'!$D$13,0)</f>
        <v/>
      </c>
      <c r="I27" s="21">
        <f>IF(B27='01_Supuestos'!$D$24,-'01_Supuestos'!$D$23,0)</f>
        <v/>
      </c>
      <c r="J27" s="21">
        <f>SUM(F27:I27)</f>
        <v/>
      </c>
      <c r="K27" s="21">
        <f>E27+J27</f>
        <v/>
      </c>
      <c r="M27" s="31" t="n">
        <v>25</v>
      </c>
      <c r="N27" s="26" t="inlineStr">
        <is>
          <t>Villarrica (desembolso; UF 15.000 adicionales vienen de la venta de la casa, fuera de la cartera)</t>
        </is>
      </c>
      <c r="O27" s="32" t="n">
        <v>470385.0751834344</v>
      </c>
      <c r="P27" s="33" t="n">
        <v>10500</v>
      </c>
      <c r="Q27" s="34" t="n">
        <v>428883000</v>
      </c>
    </row>
    <row r="28">
      <c r="B28" s="30" t="n">
        <v>15</v>
      </c>
      <c r="C28" s="21">
        <f>IF(B28=0,'01_Supuestos'!$D$7*(1-'01_Supuestos'!$D$8),0)</f>
        <v/>
      </c>
      <c r="D28" s="21">
        <f>IF(AND(B28&gt;=1,B28&lt;='01_Supuestos'!$D$10),'01_Supuestos'!$D$9,0)</f>
        <v/>
      </c>
      <c r="E28" s="21">
        <f>C28+D28</f>
        <v/>
      </c>
      <c r="F28" s="21">
        <f>IF(AND(B28&gt;='01_Supuestos'!$D$19,B28&lt;'01_Supuestos'!$D$19+'01_Supuestos'!$D$17),-'01_Supuestos'!$D$18,0)</f>
        <v/>
      </c>
      <c r="G28" s="21">
        <f>IF(AND(B28&gt;='01_Supuestos'!$D$20,B28&lt;'01_Supuestos'!$D$20+'01_Supuestos'!$D$17),-'01_Supuestos'!$D$18,0)</f>
        <v/>
      </c>
      <c r="H28" s="21">
        <f>IF(B28='01_Supuestos'!$D$22,-'01_Supuestos'!$D$21*'01_Supuestos'!$D$13,0)</f>
        <v/>
      </c>
      <c r="I28" s="21">
        <f>IF(B28='01_Supuestos'!$D$24,-'01_Supuestos'!$D$23,0)</f>
        <v/>
      </c>
      <c r="J28" s="21">
        <f>SUM(F28:I28)</f>
        <v/>
      </c>
      <c r="K28" s="21">
        <f>E28+J28</f>
        <v/>
      </c>
      <c r="M28" s="31" t="n">
        <v>50</v>
      </c>
      <c r="N28" s="26" t="inlineStr">
        <is>
          <t>Herencia (USD 250 mil por hijo)</t>
        </is>
      </c>
      <c r="O28" s="32" t="n">
        <v>500000</v>
      </c>
      <c r="P28" s="33" t="n">
        <v>11161.06840327082</v>
      </c>
      <c r="Q28" s="34" t="n">
        <v>455885000</v>
      </c>
    </row>
    <row r="29">
      <c r="B29" s="30" t="n">
        <v>16</v>
      </c>
      <c r="C29" s="21">
        <f>IF(B29=0,'01_Supuestos'!$D$7*(1-'01_Supuestos'!$D$8),0)</f>
        <v/>
      </c>
      <c r="D29" s="21">
        <f>IF(AND(B29&gt;=1,B29&lt;='01_Supuestos'!$D$10),'01_Supuestos'!$D$9,0)</f>
        <v/>
      </c>
      <c r="E29" s="21">
        <f>C29+D29</f>
        <v/>
      </c>
      <c r="F29" s="21">
        <f>IF(AND(B29&gt;='01_Supuestos'!$D$19,B29&lt;'01_Supuestos'!$D$19+'01_Supuestos'!$D$17),-'01_Supuestos'!$D$18,0)</f>
        <v/>
      </c>
      <c r="G29" s="21">
        <f>IF(AND(B29&gt;='01_Supuestos'!$D$20,B29&lt;'01_Supuestos'!$D$20+'01_Supuestos'!$D$17),-'01_Supuestos'!$D$18,0)</f>
        <v/>
      </c>
      <c r="H29" s="21">
        <f>IF(B29='01_Supuestos'!$D$22,-'01_Supuestos'!$D$21*'01_Supuestos'!$D$13,0)</f>
        <v/>
      </c>
      <c r="I29" s="21">
        <f>IF(B29='01_Supuestos'!$D$24,-'01_Supuestos'!$D$23,0)</f>
        <v/>
      </c>
      <c r="J29" s="21">
        <f>SUM(F29:I29)</f>
        <v/>
      </c>
      <c r="K29" s="21">
        <f>E29+J29</f>
        <v/>
      </c>
    </row>
    <row r="30">
      <c r="B30" s="30" t="n">
        <v>17</v>
      </c>
      <c r="C30" s="21">
        <f>IF(B30=0,'01_Supuestos'!$D$7*(1-'01_Supuestos'!$D$8),0)</f>
        <v/>
      </c>
      <c r="D30" s="21">
        <f>IF(AND(B30&gt;=1,B30&lt;='01_Supuestos'!$D$10),'01_Supuestos'!$D$9,0)</f>
        <v/>
      </c>
      <c r="E30" s="21">
        <f>C30+D30</f>
        <v/>
      </c>
      <c r="F30" s="21">
        <f>IF(AND(B30&gt;='01_Supuestos'!$D$19,B30&lt;'01_Supuestos'!$D$19+'01_Supuestos'!$D$17),-'01_Supuestos'!$D$18,0)</f>
        <v/>
      </c>
      <c r="G30" s="21">
        <f>IF(AND(B30&gt;='01_Supuestos'!$D$20,B30&lt;'01_Supuestos'!$D$20+'01_Supuestos'!$D$17),-'01_Supuestos'!$D$18,0)</f>
        <v/>
      </c>
      <c r="H30" s="21">
        <f>IF(B30='01_Supuestos'!$D$22,-'01_Supuestos'!$D$21*'01_Supuestos'!$D$13,0)</f>
        <v/>
      </c>
      <c r="I30" s="21">
        <f>IF(B30='01_Supuestos'!$D$24,-'01_Supuestos'!$D$23,0)</f>
        <v/>
      </c>
      <c r="J30" s="21">
        <f>SUM(F30:I30)</f>
        <v/>
      </c>
      <c r="K30" s="21">
        <f>E30+J30</f>
        <v/>
      </c>
    </row>
    <row r="31">
      <c r="B31" s="30" t="n">
        <v>18</v>
      </c>
      <c r="C31" s="21">
        <f>IF(B31=0,'01_Supuestos'!$D$7*(1-'01_Supuestos'!$D$8),0)</f>
        <v/>
      </c>
      <c r="D31" s="21">
        <f>IF(AND(B31&gt;=1,B31&lt;='01_Supuestos'!$D$10),'01_Supuestos'!$D$9,0)</f>
        <v/>
      </c>
      <c r="E31" s="21">
        <f>C31+D31</f>
        <v/>
      </c>
      <c r="F31" s="21">
        <f>IF(AND(B31&gt;='01_Supuestos'!$D$19,B31&lt;'01_Supuestos'!$D$19+'01_Supuestos'!$D$17),-'01_Supuestos'!$D$18,0)</f>
        <v/>
      </c>
      <c r="G31" s="21">
        <f>IF(AND(B31&gt;='01_Supuestos'!$D$20,B31&lt;'01_Supuestos'!$D$20+'01_Supuestos'!$D$17),-'01_Supuestos'!$D$18,0)</f>
        <v/>
      </c>
      <c r="H31" s="21">
        <f>IF(B31='01_Supuestos'!$D$22,-'01_Supuestos'!$D$21*'01_Supuestos'!$D$13,0)</f>
        <v/>
      </c>
      <c r="I31" s="21">
        <f>IF(B31='01_Supuestos'!$D$24,-'01_Supuestos'!$D$23,0)</f>
        <v/>
      </c>
      <c r="J31" s="21">
        <f>SUM(F31:I31)</f>
        <v/>
      </c>
      <c r="K31" s="21">
        <f>E31+J31</f>
        <v/>
      </c>
    </row>
    <row r="32">
      <c r="B32" s="30" t="n">
        <v>19</v>
      </c>
      <c r="C32" s="21">
        <f>IF(B32=0,'01_Supuestos'!$D$7*(1-'01_Supuestos'!$D$8),0)</f>
        <v/>
      </c>
      <c r="D32" s="21">
        <f>IF(AND(B32&gt;=1,B32&lt;='01_Supuestos'!$D$10),'01_Supuestos'!$D$9,0)</f>
        <v/>
      </c>
      <c r="E32" s="21">
        <f>C32+D32</f>
        <v/>
      </c>
      <c r="F32" s="21">
        <f>IF(AND(B32&gt;='01_Supuestos'!$D$19,B32&lt;'01_Supuestos'!$D$19+'01_Supuestos'!$D$17),-'01_Supuestos'!$D$18,0)</f>
        <v/>
      </c>
      <c r="G32" s="21">
        <f>IF(AND(B32&gt;='01_Supuestos'!$D$20,B32&lt;'01_Supuestos'!$D$20+'01_Supuestos'!$D$17),-'01_Supuestos'!$D$18,0)</f>
        <v/>
      </c>
      <c r="H32" s="21">
        <f>IF(B32='01_Supuestos'!$D$22,-'01_Supuestos'!$D$21*'01_Supuestos'!$D$13,0)</f>
        <v/>
      </c>
      <c r="I32" s="21">
        <f>IF(B32='01_Supuestos'!$D$24,-'01_Supuestos'!$D$23,0)</f>
        <v/>
      </c>
      <c r="J32" s="21">
        <f>SUM(F32:I32)</f>
        <v/>
      </c>
      <c r="K32" s="21">
        <f>E32+J32</f>
        <v/>
      </c>
    </row>
    <row r="33">
      <c r="B33" s="30" t="n">
        <v>20</v>
      </c>
      <c r="C33" s="21">
        <f>IF(B33=0,'01_Supuestos'!$D$7*(1-'01_Supuestos'!$D$8),0)</f>
        <v/>
      </c>
      <c r="D33" s="21">
        <f>IF(AND(B33&gt;=1,B33&lt;='01_Supuestos'!$D$10),'01_Supuestos'!$D$9,0)</f>
        <v/>
      </c>
      <c r="E33" s="21">
        <f>C33+D33</f>
        <v/>
      </c>
      <c r="F33" s="21">
        <f>IF(AND(B33&gt;='01_Supuestos'!$D$19,B33&lt;'01_Supuestos'!$D$19+'01_Supuestos'!$D$17),-'01_Supuestos'!$D$18,0)</f>
        <v/>
      </c>
      <c r="G33" s="21">
        <f>IF(AND(B33&gt;='01_Supuestos'!$D$20,B33&lt;'01_Supuestos'!$D$20+'01_Supuestos'!$D$17),-'01_Supuestos'!$D$18,0)</f>
        <v/>
      </c>
      <c r="H33" s="21">
        <f>IF(B33='01_Supuestos'!$D$22,-'01_Supuestos'!$D$21*'01_Supuestos'!$D$13,0)</f>
        <v/>
      </c>
      <c r="I33" s="21">
        <f>IF(B33='01_Supuestos'!$D$24,-'01_Supuestos'!$D$23,0)</f>
        <v/>
      </c>
      <c r="J33" s="21">
        <f>SUM(F33:I33)</f>
        <v/>
      </c>
      <c r="K33" s="21">
        <f>E33+J33</f>
        <v/>
      </c>
      <c r="M33" s="15" t="inlineStr">
        <is>
          <t>Nota: no se usa la venta de la casa de Santiago más allá de las UF 15.000 que el enunciado asigna a Villarrica.</t>
        </is>
      </c>
    </row>
    <row r="34">
      <c r="B34" s="30" t="n">
        <v>21</v>
      </c>
      <c r="C34" s="21">
        <f>IF(B34=0,'01_Supuestos'!$D$7*(1-'01_Supuestos'!$D$8),0)</f>
        <v/>
      </c>
      <c r="D34" s="21">
        <f>IF(AND(B34&gt;=1,B34&lt;='01_Supuestos'!$D$10),'01_Supuestos'!$D$9,0)</f>
        <v/>
      </c>
      <c r="E34" s="21">
        <f>C34+D34</f>
        <v/>
      </c>
      <c r="F34" s="21">
        <f>IF(AND(B34&gt;='01_Supuestos'!$D$19,B34&lt;'01_Supuestos'!$D$19+'01_Supuestos'!$D$17),-'01_Supuestos'!$D$18,0)</f>
        <v/>
      </c>
      <c r="G34" s="21">
        <f>IF(AND(B34&gt;='01_Supuestos'!$D$20,B34&lt;'01_Supuestos'!$D$20+'01_Supuestos'!$D$17),-'01_Supuestos'!$D$18,0)</f>
        <v/>
      </c>
      <c r="H34" s="21">
        <f>IF(B34='01_Supuestos'!$D$22,-'01_Supuestos'!$D$21*'01_Supuestos'!$D$13,0)</f>
        <v/>
      </c>
      <c r="I34" s="21">
        <f>IF(B34='01_Supuestos'!$D$24,-'01_Supuestos'!$D$23,0)</f>
        <v/>
      </c>
      <c r="J34" s="21">
        <f>SUM(F34:I34)</f>
        <v/>
      </c>
      <c r="K34" s="21">
        <f>E34+J34</f>
        <v/>
      </c>
    </row>
    <row r="35">
      <c r="B35" s="30" t="n">
        <v>22</v>
      </c>
      <c r="C35" s="21">
        <f>IF(B35=0,'01_Supuestos'!$D$7*(1-'01_Supuestos'!$D$8),0)</f>
        <v/>
      </c>
      <c r="D35" s="21">
        <f>IF(AND(B35&gt;=1,B35&lt;='01_Supuestos'!$D$10),'01_Supuestos'!$D$9,0)</f>
        <v/>
      </c>
      <c r="E35" s="21">
        <f>C35+D35</f>
        <v/>
      </c>
      <c r="F35" s="21">
        <f>IF(AND(B35&gt;='01_Supuestos'!$D$19,B35&lt;'01_Supuestos'!$D$19+'01_Supuestos'!$D$17),-'01_Supuestos'!$D$18,0)</f>
        <v/>
      </c>
      <c r="G35" s="21">
        <f>IF(AND(B35&gt;='01_Supuestos'!$D$20,B35&lt;'01_Supuestos'!$D$20+'01_Supuestos'!$D$17),-'01_Supuestos'!$D$18,0)</f>
        <v/>
      </c>
      <c r="H35" s="21">
        <f>IF(B35='01_Supuestos'!$D$22,-'01_Supuestos'!$D$21*'01_Supuestos'!$D$13,0)</f>
        <v/>
      </c>
      <c r="I35" s="21">
        <f>IF(B35='01_Supuestos'!$D$24,-'01_Supuestos'!$D$23,0)</f>
        <v/>
      </c>
      <c r="J35" s="21">
        <f>SUM(F35:I35)</f>
        <v/>
      </c>
      <c r="K35" s="21">
        <f>E35+J35</f>
        <v/>
      </c>
    </row>
    <row r="36">
      <c r="B36" s="30" t="n">
        <v>23</v>
      </c>
      <c r="C36" s="21">
        <f>IF(B36=0,'01_Supuestos'!$D$7*(1-'01_Supuestos'!$D$8),0)</f>
        <v/>
      </c>
      <c r="D36" s="21">
        <f>IF(AND(B36&gt;=1,B36&lt;='01_Supuestos'!$D$10),'01_Supuestos'!$D$9,0)</f>
        <v/>
      </c>
      <c r="E36" s="21">
        <f>C36+D36</f>
        <v/>
      </c>
      <c r="F36" s="21">
        <f>IF(AND(B36&gt;='01_Supuestos'!$D$19,B36&lt;'01_Supuestos'!$D$19+'01_Supuestos'!$D$17),-'01_Supuestos'!$D$18,0)</f>
        <v/>
      </c>
      <c r="G36" s="21">
        <f>IF(AND(B36&gt;='01_Supuestos'!$D$20,B36&lt;'01_Supuestos'!$D$20+'01_Supuestos'!$D$17),-'01_Supuestos'!$D$18,0)</f>
        <v/>
      </c>
      <c r="H36" s="21">
        <f>IF(B36='01_Supuestos'!$D$22,-'01_Supuestos'!$D$21*'01_Supuestos'!$D$13,0)</f>
        <v/>
      </c>
      <c r="I36" s="21">
        <f>IF(B36='01_Supuestos'!$D$24,-'01_Supuestos'!$D$23,0)</f>
        <v/>
      </c>
      <c r="J36" s="21">
        <f>SUM(F36:I36)</f>
        <v/>
      </c>
      <c r="K36" s="21">
        <f>E36+J36</f>
        <v/>
      </c>
    </row>
    <row r="37">
      <c r="B37" s="30" t="n">
        <v>24</v>
      </c>
      <c r="C37" s="21">
        <f>IF(B37=0,'01_Supuestos'!$D$7*(1-'01_Supuestos'!$D$8),0)</f>
        <v/>
      </c>
      <c r="D37" s="21">
        <f>IF(AND(B37&gt;=1,B37&lt;='01_Supuestos'!$D$10),'01_Supuestos'!$D$9,0)</f>
        <v/>
      </c>
      <c r="E37" s="21">
        <f>C37+D37</f>
        <v/>
      </c>
      <c r="F37" s="21">
        <f>IF(AND(B37&gt;='01_Supuestos'!$D$19,B37&lt;'01_Supuestos'!$D$19+'01_Supuestos'!$D$17),-'01_Supuestos'!$D$18,0)</f>
        <v/>
      </c>
      <c r="G37" s="21">
        <f>IF(AND(B37&gt;='01_Supuestos'!$D$20,B37&lt;'01_Supuestos'!$D$20+'01_Supuestos'!$D$17),-'01_Supuestos'!$D$18,0)</f>
        <v/>
      </c>
      <c r="H37" s="21">
        <f>IF(B37='01_Supuestos'!$D$22,-'01_Supuestos'!$D$21*'01_Supuestos'!$D$13,0)</f>
        <v/>
      </c>
      <c r="I37" s="21">
        <f>IF(B37='01_Supuestos'!$D$24,-'01_Supuestos'!$D$23,0)</f>
        <v/>
      </c>
      <c r="J37" s="21">
        <f>SUM(F37:I37)</f>
        <v/>
      </c>
      <c r="K37" s="21">
        <f>E37+J37</f>
        <v/>
      </c>
    </row>
    <row r="38">
      <c r="B38" s="30" t="n">
        <v>25</v>
      </c>
      <c r="C38" s="21">
        <f>IF(B38=0,'01_Supuestos'!$D$7*(1-'01_Supuestos'!$D$8),0)</f>
        <v/>
      </c>
      <c r="D38" s="21">
        <f>IF(AND(B38&gt;=1,B38&lt;='01_Supuestos'!$D$10),'01_Supuestos'!$D$9,0)</f>
        <v/>
      </c>
      <c r="E38" s="21">
        <f>C38+D38</f>
        <v/>
      </c>
      <c r="F38" s="21">
        <f>IF(AND(B38&gt;='01_Supuestos'!$D$19,B38&lt;'01_Supuestos'!$D$19+'01_Supuestos'!$D$17),-'01_Supuestos'!$D$18,0)</f>
        <v/>
      </c>
      <c r="G38" s="21">
        <f>IF(AND(B38&gt;='01_Supuestos'!$D$20,B38&lt;'01_Supuestos'!$D$20+'01_Supuestos'!$D$17),-'01_Supuestos'!$D$18,0)</f>
        <v/>
      </c>
      <c r="H38" s="21">
        <f>IF(B38='01_Supuestos'!$D$22,-'01_Supuestos'!$D$21*'01_Supuestos'!$D$13,0)</f>
        <v/>
      </c>
      <c r="I38" s="21">
        <f>IF(B38='01_Supuestos'!$D$24,-'01_Supuestos'!$D$23,0)</f>
        <v/>
      </c>
      <c r="J38" s="21">
        <f>SUM(F38:I38)</f>
        <v/>
      </c>
      <c r="K38" s="21">
        <f>E38+J38</f>
        <v/>
      </c>
    </row>
    <row r="39">
      <c r="B39" s="30" t="n">
        <v>26</v>
      </c>
      <c r="C39" s="21">
        <f>IF(B39=0,'01_Supuestos'!$D$7*(1-'01_Supuestos'!$D$8),0)</f>
        <v/>
      </c>
      <c r="D39" s="21">
        <f>IF(AND(B39&gt;=1,B39&lt;='01_Supuestos'!$D$10),'01_Supuestos'!$D$9,0)</f>
        <v/>
      </c>
      <c r="E39" s="21">
        <f>C39+D39</f>
        <v/>
      </c>
      <c r="F39" s="21">
        <f>IF(AND(B39&gt;='01_Supuestos'!$D$19,B39&lt;'01_Supuestos'!$D$19+'01_Supuestos'!$D$17),-'01_Supuestos'!$D$18,0)</f>
        <v/>
      </c>
      <c r="G39" s="21">
        <f>IF(AND(B39&gt;='01_Supuestos'!$D$20,B39&lt;'01_Supuestos'!$D$20+'01_Supuestos'!$D$17),-'01_Supuestos'!$D$18,0)</f>
        <v/>
      </c>
      <c r="H39" s="21">
        <f>IF(B39='01_Supuestos'!$D$22,-'01_Supuestos'!$D$21*'01_Supuestos'!$D$13,0)</f>
        <v/>
      </c>
      <c r="I39" s="21">
        <f>IF(B39='01_Supuestos'!$D$24,-'01_Supuestos'!$D$23,0)</f>
        <v/>
      </c>
      <c r="J39" s="21">
        <f>SUM(F39:I39)</f>
        <v/>
      </c>
      <c r="K39" s="21">
        <f>E39+J39</f>
        <v/>
      </c>
    </row>
    <row r="40">
      <c r="B40" s="30" t="n">
        <v>27</v>
      </c>
      <c r="C40" s="21">
        <f>IF(B40=0,'01_Supuestos'!$D$7*(1-'01_Supuestos'!$D$8),0)</f>
        <v/>
      </c>
      <c r="D40" s="21">
        <f>IF(AND(B40&gt;=1,B40&lt;='01_Supuestos'!$D$10),'01_Supuestos'!$D$9,0)</f>
        <v/>
      </c>
      <c r="E40" s="21">
        <f>C40+D40</f>
        <v/>
      </c>
      <c r="F40" s="21">
        <f>IF(AND(B40&gt;='01_Supuestos'!$D$19,B40&lt;'01_Supuestos'!$D$19+'01_Supuestos'!$D$17),-'01_Supuestos'!$D$18,0)</f>
        <v/>
      </c>
      <c r="G40" s="21">
        <f>IF(AND(B40&gt;='01_Supuestos'!$D$20,B40&lt;'01_Supuestos'!$D$20+'01_Supuestos'!$D$17),-'01_Supuestos'!$D$18,0)</f>
        <v/>
      </c>
      <c r="H40" s="21">
        <f>IF(B40='01_Supuestos'!$D$22,-'01_Supuestos'!$D$21*'01_Supuestos'!$D$13,0)</f>
        <v/>
      </c>
      <c r="I40" s="21">
        <f>IF(B40='01_Supuestos'!$D$24,-'01_Supuestos'!$D$23,0)</f>
        <v/>
      </c>
      <c r="J40" s="21">
        <f>SUM(F40:I40)</f>
        <v/>
      </c>
      <c r="K40" s="21">
        <f>E40+J40</f>
        <v/>
      </c>
    </row>
    <row r="41">
      <c r="B41" s="30" t="n">
        <v>28</v>
      </c>
      <c r="C41" s="21">
        <f>IF(B41=0,'01_Supuestos'!$D$7*(1-'01_Supuestos'!$D$8),0)</f>
        <v/>
      </c>
      <c r="D41" s="21">
        <f>IF(AND(B41&gt;=1,B41&lt;='01_Supuestos'!$D$10),'01_Supuestos'!$D$9,0)</f>
        <v/>
      </c>
      <c r="E41" s="21">
        <f>C41+D41</f>
        <v/>
      </c>
      <c r="F41" s="21">
        <f>IF(AND(B41&gt;='01_Supuestos'!$D$19,B41&lt;'01_Supuestos'!$D$19+'01_Supuestos'!$D$17),-'01_Supuestos'!$D$18,0)</f>
        <v/>
      </c>
      <c r="G41" s="21">
        <f>IF(AND(B41&gt;='01_Supuestos'!$D$20,B41&lt;'01_Supuestos'!$D$20+'01_Supuestos'!$D$17),-'01_Supuestos'!$D$18,0)</f>
        <v/>
      </c>
      <c r="H41" s="21">
        <f>IF(B41='01_Supuestos'!$D$22,-'01_Supuestos'!$D$21*'01_Supuestos'!$D$13,0)</f>
        <v/>
      </c>
      <c r="I41" s="21">
        <f>IF(B41='01_Supuestos'!$D$24,-'01_Supuestos'!$D$23,0)</f>
        <v/>
      </c>
      <c r="J41" s="21">
        <f>SUM(F41:I41)</f>
        <v/>
      </c>
      <c r="K41" s="21">
        <f>E41+J41</f>
        <v/>
      </c>
    </row>
    <row r="42">
      <c r="B42" s="30" t="n">
        <v>29</v>
      </c>
      <c r="C42" s="21">
        <f>IF(B42=0,'01_Supuestos'!$D$7*(1-'01_Supuestos'!$D$8),0)</f>
        <v/>
      </c>
      <c r="D42" s="21">
        <f>IF(AND(B42&gt;=1,B42&lt;='01_Supuestos'!$D$10),'01_Supuestos'!$D$9,0)</f>
        <v/>
      </c>
      <c r="E42" s="21">
        <f>C42+D42</f>
        <v/>
      </c>
      <c r="F42" s="21">
        <f>IF(AND(B42&gt;='01_Supuestos'!$D$19,B42&lt;'01_Supuestos'!$D$19+'01_Supuestos'!$D$17),-'01_Supuestos'!$D$18,0)</f>
        <v/>
      </c>
      <c r="G42" s="21">
        <f>IF(AND(B42&gt;='01_Supuestos'!$D$20,B42&lt;'01_Supuestos'!$D$20+'01_Supuestos'!$D$17),-'01_Supuestos'!$D$18,0)</f>
        <v/>
      </c>
      <c r="H42" s="21">
        <f>IF(B42='01_Supuestos'!$D$22,-'01_Supuestos'!$D$21*'01_Supuestos'!$D$13,0)</f>
        <v/>
      </c>
      <c r="I42" s="21">
        <f>IF(B42='01_Supuestos'!$D$24,-'01_Supuestos'!$D$23,0)</f>
        <v/>
      </c>
      <c r="J42" s="21">
        <f>SUM(F42:I42)</f>
        <v/>
      </c>
      <c r="K42" s="21">
        <f>E42+J42</f>
        <v/>
      </c>
    </row>
    <row r="43">
      <c r="B43" s="30" t="n">
        <v>30</v>
      </c>
      <c r="C43" s="21">
        <f>IF(B43=0,'01_Supuestos'!$D$7*(1-'01_Supuestos'!$D$8),0)</f>
        <v/>
      </c>
      <c r="D43" s="21">
        <f>IF(AND(B43&gt;=1,B43&lt;='01_Supuestos'!$D$10),'01_Supuestos'!$D$9,0)</f>
        <v/>
      </c>
      <c r="E43" s="21">
        <f>C43+D43</f>
        <v/>
      </c>
      <c r="F43" s="21">
        <f>IF(AND(B43&gt;='01_Supuestos'!$D$19,B43&lt;'01_Supuestos'!$D$19+'01_Supuestos'!$D$17),-'01_Supuestos'!$D$18,0)</f>
        <v/>
      </c>
      <c r="G43" s="21">
        <f>IF(AND(B43&gt;='01_Supuestos'!$D$20,B43&lt;'01_Supuestos'!$D$20+'01_Supuestos'!$D$17),-'01_Supuestos'!$D$18,0)</f>
        <v/>
      </c>
      <c r="H43" s="21">
        <f>IF(B43='01_Supuestos'!$D$22,-'01_Supuestos'!$D$21*'01_Supuestos'!$D$13,0)</f>
        <v/>
      </c>
      <c r="I43" s="21">
        <f>IF(B43='01_Supuestos'!$D$24,-'01_Supuestos'!$D$23,0)</f>
        <v/>
      </c>
      <c r="J43" s="21">
        <f>SUM(F43:I43)</f>
        <v/>
      </c>
      <c r="K43" s="21">
        <f>E43+J43</f>
        <v/>
      </c>
    </row>
    <row r="44">
      <c r="B44" s="30" t="n">
        <v>31</v>
      </c>
      <c r="C44" s="21">
        <f>IF(B44=0,'01_Supuestos'!$D$7*(1-'01_Supuestos'!$D$8),0)</f>
        <v/>
      </c>
      <c r="D44" s="21">
        <f>IF(AND(B44&gt;=1,B44&lt;='01_Supuestos'!$D$10),'01_Supuestos'!$D$9,0)</f>
        <v/>
      </c>
      <c r="E44" s="21">
        <f>C44+D44</f>
        <v/>
      </c>
      <c r="F44" s="21">
        <f>IF(AND(B44&gt;='01_Supuestos'!$D$19,B44&lt;'01_Supuestos'!$D$19+'01_Supuestos'!$D$17),-'01_Supuestos'!$D$18,0)</f>
        <v/>
      </c>
      <c r="G44" s="21">
        <f>IF(AND(B44&gt;='01_Supuestos'!$D$20,B44&lt;'01_Supuestos'!$D$20+'01_Supuestos'!$D$17),-'01_Supuestos'!$D$18,0)</f>
        <v/>
      </c>
      <c r="H44" s="21">
        <f>IF(B44='01_Supuestos'!$D$22,-'01_Supuestos'!$D$21*'01_Supuestos'!$D$13,0)</f>
        <v/>
      </c>
      <c r="I44" s="21">
        <f>IF(B44='01_Supuestos'!$D$24,-'01_Supuestos'!$D$23,0)</f>
        <v/>
      </c>
      <c r="J44" s="21">
        <f>SUM(F44:I44)</f>
        <v/>
      </c>
      <c r="K44" s="21">
        <f>E44+J44</f>
        <v/>
      </c>
    </row>
    <row r="45">
      <c r="B45" s="30" t="n">
        <v>32</v>
      </c>
      <c r="C45" s="21">
        <f>IF(B45=0,'01_Supuestos'!$D$7*(1-'01_Supuestos'!$D$8),0)</f>
        <v/>
      </c>
      <c r="D45" s="21">
        <f>IF(AND(B45&gt;=1,B45&lt;='01_Supuestos'!$D$10),'01_Supuestos'!$D$9,0)</f>
        <v/>
      </c>
      <c r="E45" s="21">
        <f>C45+D45</f>
        <v/>
      </c>
      <c r="F45" s="21">
        <f>IF(AND(B45&gt;='01_Supuestos'!$D$19,B45&lt;'01_Supuestos'!$D$19+'01_Supuestos'!$D$17),-'01_Supuestos'!$D$18,0)</f>
        <v/>
      </c>
      <c r="G45" s="21">
        <f>IF(AND(B45&gt;='01_Supuestos'!$D$20,B45&lt;'01_Supuestos'!$D$20+'01_Supuestos'!$D$17),-'01_Supuestos'!$D$18,0)</f>
        <v/>
      </c>
      <c r="H45" s="21">
        <f>IF(B45='01_Supuestos'!$D$22,-'01_Supuestos'!$D$21*'01_Supuestos'!$D$13,0)</f>
        <v/>
      </c>
      <c r="I45" s="21">
        <f>IF(B45='01_Supuestos'!$D$24,-'01_Supuestos'!$D$23,0)</f>
        <v/>
      </c>
      <c r="J45" s="21">
        <f>SUM(F45:I45)</f>
        <v/>
      </c>
      <c r="K45" s="21">
        <f>E45+J45</f>
        <v/>
      </c>
    </row>
    <row r="46">
      <c r="B46" s="30" t="n">
        <v>33</v>
      </c>
      <c r="C46" s="21">
        <f>IF(B46=0,'01_Supuestos'!$D$7*(1-'01_Supuestos'!$D$8),0)</f>
        <v/>
      </c>
      <c r="D46" s="21">
        <f>IF(AND(B46&gt;=1,B46&lt;='01_Supuestos'!$D$10),'01_Supuestos'!$D$9,0)</f>
        <v/>
      </c>
      <c r="E46" s="21">
        <f>C46+D46</f>
        <v/>
      </c>
      <c r="F46" s="21">
        <f>IF(AND(B46&gt;='01_Supuestos'!$D$19,B46&lt;'01_Supuestos'!$D$19+'01_Supuestos'!$D$17),-'01_Supuestos'!$D$18,0)</f>
        <v/>
      </c>
      <c r="G46" s="21">
        <f>IF(AND(B46&gt;='01_Supuestos'!$D$20,B46&lt;'01_Supuestos'!$D$20+'01_Supuestos'!$D$17),-'01_Supuestos'!$D$18,0)</f>
        <v/>
      </c>
      <c r="H46" s="21">
        <f>IF(B46='01_Supuestos'!$D$22,-'01_Supuestos'!$D$21*'01_Supuestos'!$D$13,0)</f>
        <v/>
      </c>
      <c r="I46" s="21">
        <f>IF(B46='01_Supuestos'!$D$24,-'01_Supuestos'!$D$23,0)</f>
        <v/>
      </c>
      <c r="J46" s="21">
        <f>SUM(F46:I46)</f>
        <v/>
      </c>
      <c r="K46" s="21">
        <f>E46+J46</f>
        <v/>
      </c>
    </row>
    <row r="47">
      <c r="B47" s="30" t="n">
        <v>34</v>
      </c>
      <c r="C47" s="21">
        <f>IF(B47=0,'01_Supuestos'!$D$7*(1-'01_Supuestos'!$D$8),0)</f>
        <v/>
      </c>
      <c r="D47" s="21">
        <f>IF(AND(B47&gt;=1,B47&lt;='01_Supuestos'!$D$10),'01_Supuestos'!$D$9,0)</f>
        <v/>
      </c>
      <c r="E47" s="21">
        <f>C47+D47</f>
        <v/>
      </c>
      <c r="F47" s="21">
        <f>IF(AND(B47&gt;='01_Supuestos'!$D$19,B47&lt;'01_Supuestos'!$D$19+'01_Supuestos'!$D$17),-'01_Supuestos'!$D$18,0)</f>
        <v/>
      </c>
      <c r="G47" s="21">
        <f>IF(AND(B47&gt;='01_Supuestos'!$D$20,B47&lt;'01_Supuestos'!$D$20+'01_Supuestos'!$D$17),-'01_Supuestos'!$D$18,0)</f>
        <v/>
      </c>
      <c r="H47" s="21">
        <f>IF(B47='01_Supuestos'!$D$22,-'01_Supuestos'!$D$21*'01_Supuestos'!$D$13,0)</f>
        <v/>
      </c>
      <c r="I47" s="21">
        <f>IF(B47='01_Supuestos'!$D$24,-'01_Supuestos'!$D$23,0)</f>
        <v/>
      </c>
      <c r="J47" s="21">
        <f>SUM(F47:I47)</f>
        <v/>
      </c>
      <c r="K47" s="21">
        <f>E47+J47</f>
        <v/>
      </c>
    </row>
    <row r="48">
      <c r="B48" s="30" t="n">
        <v>35</v>
      </c>
      <c r="C48" s="21">
        <f>IF(B48=0,'01_Supuestos'!$D$7*(1-'01_Supuestos'!$D$8),0)</f>
        <v/>
      </c>
      <c r="D48" s="21">
        <f>IF(AND(B48&gt;=1,B48&lt;='01_Supuestos'!$D$10),'01_Supuestos'!$D$9,0)</f>
        <v/>
      </c>
      <c r="E48" s="21">
        <f>C48+D48</f>
        <v/>
      </c>
      <c r="F48" s="21">
        <f>IF(AND(B48&gt;='01_Supuestos'!$D$19,B48&lt;'01_Supuestos'!$D$19+'01_Supuestos'!$D$17),-'01_Supuestos'!$D$18,0)</f>
        <v/>
      </c>
      <c r="G48" s="21">
        <f>IF(AND(B48&gt;='01_Supuestos'!$D$20,B48&lt;'01_Supuestos'!$D$20+'01_Supuestos'!$D$17),-'01_Supuestos'!$D$18,0)</f>
        <v/>
      </c>
      <c r="H48" s="21">
        <f>IF(B48='01_Supuestos'!$D$22,-'01_Supuestos'!$D$21*'01_Supuestos'!$D$13,0)</f>
        <v/>
      </c>
      <c r="I48" s="21">
        <f>IF(B48='01_Supuestos'!$D$24,-'01_Supuestos'!$D$23,0)</f>
        <v/>
      </c>
      <c r="J48" s="21">
        <f>SUM(F48:I48)</f>
        <v/>
      </c>
      <c r="K48" s="21">
        <f>E48+J48</f>
        <v/>
      </c>
    </row>
    <row r="49">
      <c r="B49" s="30" t="n">
        <v>36</v>
      </c>
      <c r="C49" s="21">
        <f>IF(B49=0,'01_Supuestos'!$D$7*(1-'01_Supuestos'!$D$8),0)</f>
        <v/>
      </c>
      <c r="D49" s="21">
        <f>IF(AND(B49&gt;=1,B49&lt;='01_Supuestos'!$D$10),'01_Supuestos'!$D$9,0)</f>
        <v/>
      </c>
      <c r="E49" s="21">
        <f>C49+D49</f>
        <v/>
      </c>
      <c r="F49" s="21">
        <f>IF(AND(B49&gt;='01_Supuestos'!$D$19,B49&lt;'01_Supuestos'!$D$19+'01_Supuestos'!$D$17),-'01_Supuestos'!$D$18,0)</f>
        <v/>
      </c>
      <c r="G49" s="21">
        <f>IF(AND(B49&gt;='01_Supuestos'!$D$20,B49&lt;'01_Supuestos'!$D$20+'01_Supuestos'!$D$17),-'01_Supuestos'!$D$18,0)</f>
        <v/>
      </c>
      <c r="H49" s="21">
        <f>IF(B49='01_Supuestos'!$D$22,-'01_Supuestos'!$D$21*'01_Supuestos'!$D$13,0)</f>
        <v/>
      </c>
      <c r="I49" s="21">
        <f>IF(B49='01_Supuestos'!$D$24,-'01_Supuestos'!$D$23,0)</f>
        <v/>
      </c>
      <c r="J49" s="21">
        <f>SUM(F49:I49)</f>
        <v/>
      </c>
      <c r="K49" s="21">
        <f>E49+J49</f>
        <v/>
      </c>
    </row>
    <row r="50">
      <c r="B50" s="30" t="n">
        <v>37</v>
      </c>
      <c r="C50" s="21">
        <f>IF(B50=0,'01_Supuestos'!$D$7*(1-'01_Supuestos'!$D$8),0)</f>
        <v/>
      </c>
      <c r="D50" s="21">
        <f>IF(AND(B50&gt;=1,B50&lt;='01_Supuestos'!$D$10),'01_Supuestos'!$D$9,0)</f>
        <v/>
      </c>
      <c r="E50" s="21">
        <f>C50+D50</f>
        <v/>
      </c>
      <c r="F50" s="21">
        <f>IF(AND(B50&gt;='01_Supuestos'!$D$19,B50&lt;'01_Supuestos'!$D$19+'01_Supuestos'!$D$17),-'01_Supuestos'!$D$18,0)</f>
        <v/>
      </c>
      <c r="G50" s="21">
        <f>IF(AND(B50&gt;='01_Supuestos'!$D$20,B50&lt;'01_Supuestos'!$D$20+'01_Supuestos'!$D$17),-'01_Supuestos'!$D$18,0)</f>
        <v/>
      </c>
      <c r="H50" s="21">
        <f>IF(B50='01_Supuestos'!$D$22,-'01_Supuestos'!$D$21*'01_Supuestos'!$D$13,0)</f>
        <v/>
      </c>
      <c r="I50" s="21">
        <f>IF(B50='01_Supuestos'!$D$24,-'01_Supuestos'!$D$23,0)</f>
        <v/>
      </c>
      <c r="J50" s="21">
        <f>SUM(F50:I50)</f>
        <v/>
      </c>
      <c r="K50" s="21">
        <f>E50+J50</f>
        <v/>
      </c>
    </row>
    <row r="51">
      <c r="B51" s="30" t="n">
        <v>38</v>
      </c>
      <c r="C51" s="21">
        <f>IF(B51=0,'01_Supuestos'!$D$7*(1-'01_Supuestos'!$D$8),0)</f>
        <v/>
      </c>
      <c r="D51" s="21">
        <f>IF(AND(B51&gt;=1,B51&lt;='01_Supuestos'!$D$10),'01_Supuestos'!$D$9,0)</f>
        <v/>
      </c>
      <c r="E51" s="21">
        <f>C51+D51</f>
        <v/>
      </c>
      <c r="F51" s="21">
        <f>IF(AND(B51&gt;='01_Supuestos'!$D$19,B51&lt;'01_Supuestos'!$D$19+'01_Supuestos'!$D$17),-'01_Supuestos'!$D$18,0)</f>
        <v/>
      </c>
      <c r="G51" s="21">
        <f>IF(AND(B51&gt;='01_Supuestos'!$D$20,B51&lt;'01_Supuestos'!$D$20+'01_Supuestos'!$D$17),-'01_Supuestos'!$D$18,0)</f>
        <v/>
      </c>
      <c r="H51" s="21">
        <f>IF(B51='01_Supuestos'!$D$22,-'01_Supuestos'!$D$21*'01_Supuestos'!$D$13,0)</f>
        <v/>
      </c>
      <c r="I51" s="21">
        <f>IF(B51='01_Supuestos'!$D$24,-'01_Supuestos'!$D$23,0)</f>
        <v/>
      </c>
      <c r="J51" s="21">
        <f>SUM(F51:I51)</f>
        <v/>
      </c>
      <c r="K51" s="21">
        <f>E51+J51</f>
        <v/>
      </c>
    </row>
    <row r="52">
      <c r="B52" s="30" t="n">
        <v>39</v>
      </c>
      <c r="C52" s="21">
        <f>IF(B52=0,'01_Supuestos'!$D$7*(1-'01_Supuestos'!$D$8),0)</f>
        <v/>
      </c>
      <c r="D52" s="21">
        <f>IF(AND(B52&gt;=1,B52&lt;='01_Supuestos'!$D$10),'01_Supuestos'!$D$9,0)</f>
        <v/>
      </c>
      <c r="E52" s="21">
        <f>C52+D52</f>
        <v/>
      </c>
      <c r="F52" s="21">
        <f>IF(AND(B52&gt;='01_Supuestos'!$D$19,B52&lt;'01_Supuestos'!$D$19+'01_Supuestos'!$D$17),-'01_Supuestos'!$D$18,0)</f>
        <v/>
      </c>
      <c r="G52" s="21">
        <f>IF(AND(B52&gt;='01_Supuestos'!$D$20,B52&lt;'01_Supuestos'!$D$20+'01_Supuestos'!$D$17),-'01_Supuestos'!$D$18,0)</f>
        <v/>
      </c>
      <c r="H52" s="21">
        <f>IF(B52='01_Supuestos'!$D$22,-'01_Supuestos'!$D$21*'01_Supuestos'!$D$13,0)</f>
        <v/>
      </c>
      <c r="I52" s="21">
        <f>IF(B52='01_Supuestos'!$D$24,-'01_Supuestos'!$D$23,0)</f>
        <v/>
      </c>
      <c r="J52" s="21">
        <f>SUM(F52:I52)</f>
        <v/>
      </c>
      <c r="K52" s="21">
        <f>E52+J52</f>
        <v/>
      </c>
    </row>
    <row r="53">
      <c r="B53" s="30" t="n">
        <v>40</v>
      </c>
      <c r="C53" s="21">
        <f>IF(B53=0,'01_Supuestos'!$D$7*(1-'01_Supuestos'!$D$8),0)</f>
        <v/>
      </c>
      <c r="D53" s="21">
        <f>IF(AND(B53&gt;=1,B53&lt;='01_Supuestos'!$D$10),'01_Supuestos'!$D$9,0)</f>
        <v/>
      </c>
      <c r="E53" s="21">
        <f>C53+D53</f>
        <v/>
      </c>
      <c r="F53" s="21">
        <f>IF(AND(B53&gt;='01_Supuestos'!$D$19,B53&lt;'01_Supuestos'!$D$19+'01_Supuestos'!$D$17),-'01_Supuestos'!$D$18,0)</f>
        <v/>
      </c>
      <c r="G53" s="21">
        <f>IF(AND(B53&gt;='01_Supuestos'!$D$20,B53&lt;'01_Supuestos'!$D$20+'01_Supuestos'!$D$17),-'01_Supuestos'!$D$18,0)</f>
        <v/>
      </c>
      <c r="H53" s="21">
        <f>IF(B53='01_Supuestos'!$D$22,-'01_Supuestos'!$D$21*'01_Supuestos'!$D$13,0)</f>
        <v/>
      </c>
      <c r="I53" s="21">
        <f>IF(B53='01_Supuestos'!$D$24,-'01_Supuestos'!$D$23,0)</f>
        <v/>
      </c>
      <c r="J53" s="21">
        <f>SUM(F53:I53)</f>
        <v/>
      </c>
      <c r="K53" s="21">
        <f>E53+J53</f>
        <v/>
      </c>
    </row>
    <row r="54">
      <c r="B54" s="30" t="n">
        <v>41</v>
      </c>
      <c r="C54" s="21">
        <f>IF(B54=0,'01_Supuestos'!$D$7*(1-'01_Supuestos'!$D$8),0)</f>
        <v/>
      </c>
      <c r="D54" s="21">
        <f>IF(AND(B54&gt;=1,B54&lt;='01_Supuestos'!$D$10),'01_Supuestos'!$D$9,0)</f>
        <v/>
      </c>
      <c r="E54" s="21">
        <f>C54+D54</f>
        <v/>
      </c>
      <c r="F54" s="21">
        <f>IF(AND(B54&gt;='01_Supuestos'!$D$19,B54&lt;'01_Supuestos'!$D$19+'01_Supuestos'!$D$17),-'01_Supuestos'!$D$18,0)</f>
        <v/>
      </c>
      <c r="G54" s="21">
        <f>IF(AND(B54&gt;='01_Supuestos'!$D$20,B54&lt;'01_Supuestos'!$D$20+'01_Supuestos'!$D$17),-'01_Supuestos'!$D$18,0)</f>
        <v/>
      </c>
      <c r="H54" s="21">
        <f>IF(B54='01_Supuestos'!$D$22,-'01_Supuestos'!$D$21*'01_Supuestos'!$D$13,0)</f>
        <v/>
      </c>
      <c r="I54" s="21">
        <f>IF(B54='01_Supuestos'!$D$24,-'01_Supuestos'!$D$23,0)</f>
        <v/>
      </c>
      <c r="J54" s="21">
        <f>SUM(F54:I54)</f>
        <v/>
      </c>
      <c r="K54" s="21">
        <f>E54+J54</f>
        <v/>
      </c>
    </row>
    <row r="55">
      <c r="B55" s="30" t="n">
        <v>42</v>
      </c>
      <c r="C55" s="21">
        <f>IF(B55=0,'01_Supuestos'!$D$7*(1-'01_Supuestos'!$D$8),0)</f>
        <v/>
      </c>
      <c r="D55" s="21">
        <f>IF(AND(B55&gt;=1,B55&lt;='01_Supuestos'!$D$10),'01_Supuestos'!$D$9,0)</f>
        <v/>
      </c>
      <c r="E55" s="21">
        <f>C55+D55</f>
        <v/>
      </c>
      <c r="F55" s="21">
        <f>IF(AND(B55&gt;='01_Supuestos'!$D$19,B55&lt;'01_Supuestos'!$D$19+'01_Supuestos'!$D$17),-'01_Supuestos'!$D$18,0)</f>
        <v/>
      </c>
      <c r="G55" s="21">
        <f>IF(AND(B55&gt;='01_Supuestos'!$D$20,B55&lt;'01_Supuestos'!$D$20+'01_Supuestos'!$D$17),-'01_Supuestos'!$D$18,0)</f>
        <v/>
      </c>
      <c r="H55" s="21">
        <f>IF(B55='01_Supuestos'!$D$22,-'01_Supuestos'!$D$21*'01_Supuestos'!$D$13,0)</f>
        <v/>
      </c>
      <c r="I55" s="21">
        <f>IF(B55='01_Supuestos'!$D$24,-'01_Supuestos'!$D$23,0)</f>
        <v/>
      </c>
      <c r="J55" s="21">
        <f>SUM(F55:I55)</f>
        <v/>
      </c>
      <c r="K55" s="21">
        <f>E55+J55</f>
        <v/>
      </c>
    </row>
    <row r="56">
      <c r="B56" s="30" t="n">
        <v>43</v>
      </c>
      <c r="C56" s="21">
        <f>IF(B56=0,'01_Supuestos'!$D$7*(1-'01_Supuestos'!$D$8),0)</f>
        <v/>
      </c>
      <c r="D56" s="21">
        <f>IF(AND(B56&gt;=1,B56&lt;='01_Supuestos'!$D$10),'01_Supuestos'!$D$9,0)</f>
        <v/>
      </c>
      <c r="E56" s="21">
        <f>C56+D56</f>
        <v/>
      </c>
      <c r="F56" s="21">
        <f>IF(AND(B56&gt;='01_Supuestos'!$D$19,B56&lt;'01_Supuestos'!$D$19+'01_Supuestos'!$D$17),-'01_Supuestos'!$D$18,0)</f>
        <v/>
      </c>
      <c r="G56" s="21">
        <f>IF(AND(B56&gt;='01_Supuestos'!$D$20,B56&lt;'01_Supuestos'!$D$20+'01_Supuestos'!$D$17),-'01_Supuestos'!$D$18,0)</f>
        <v/>
      </c>
      <c r="H56" s="21">
        <f>IF(B56='01_Supuestos'!$D$22,-'01_Supuestos'!$D$21*'01_Supuestos'!$D$13,0)</f>
        <v/>
      </c>
      <c r="I56" s="21">
        <f>IF(B56='01_Supuestos'!$D$24,-'01_Supuestos'!$D$23,0)</f>
        <v/>
      </c>
      <c r="J56" s="21">
        <f>SUM(F56:I56)</f>
        <v/>
      </c>
      <c r="K56" s="21">
        <f>E56+J56</f>
        <v/>
      </c>
    </row>
    <row r="57">
      <c r="B57" s="30" t="n">
        <v>44</v>
      </c>
      <c r="C57" s="21">
        <f>IF(B57=0,'01_Supuestos'!$D$7*(1-'01_Supuestos'!$D$8),0)</f>
        <v/>
      </c>
      <c r="D57" s="21">
        <f>IF(AND(B57&gt;=1,B57&lt;='01_Supuestos'!$D$10),'01_Supuestos'!$D$9,0)</f>
        <v/>
      </c>
      <c r="E57" s="21">
        <f>C57+D57</f>
        <v/>
      </c>
      <c r="F57" s="21">
        <f>IF(AND(B57&gt;='01_Supuestos'!$D$19,B57&lt;'01_Supuestos'!$D$19+'01_Supuestos'!$D$17),-'01_Supuestos'!$D$18,0)</f>
        <v/>
      </c>
      <c r="G57" s="21">
        <f>IF(AND(B57&gt;='01_Supuestos'!$D$20,B57&lt;'01_Supuestos'!$D$20+'01_Supuestos'!$D$17),-'01_Supuestos'!$D$18,0)</f>
        <v/>
      </c>
      <c r="H57" s="21">
        <f>IF(B57='01_Supuestos'!$D$22,-'01_Supuestos'!$D$21*'01_Supuestos'!$D$13,0)</f>
        <v/>
      </c>
      <c r="I57" s="21">
        <f>IF(B57='01_Supuestos'!$D$24,-'01_Supuestos'!$D$23,0)</f>
        <v/>
      </c>
      <c r="J57" s="21">
        <f>SUM(F57:I57)</f>
        <v/>
      </c>
      <c r="K57" s="21">
        <f>E57+J57</f>
        <v/>
      </c>
    </row>
    <row r="58">
      <c r="B58" s="30" t="n">
        <v>45</v>
      </c>
      <c r="C58" s="21">
        <f>IF(B58=0,'01_Supuestos'!$D$7*(1-'01_Supuestos'!$D$8),0)</f>
        <v/>
      </c>
      <c r="D58" s="21">
        <f>IF(AND(B58&gt;=1,B58&lt;='01_Supuestos'!$D$10),'01_Supuestos'!$D$9,0)</f>
        <v/>
      </c>
      <c r="E58" s="21">
        <f>C58+D58</f>
        <v/>
      </c>
      <c r="F58" s="21">
        <f>IF(AND(B58&gt;='01_Supuestos'!$D$19,B58&lt;'01_Supuestos'!$D$19+'01_Supuestos'!$D$17),-'01_Supuestos'!$D$18,0)</f>
        <v/>
      </c>
      <c r="G58" s="21">
        <f>IF(AND(B58&gt;='01_Supuestos'!$D$20,B58&lt;'01_Supuestos'!$D$20+'01_Supuestos'!$D$17),-'01_Supuestos'!$D$18,0)</f>
        <v/>
      </c>
      <c r="H58" s="21">
        <f>IF(B58='01_Supuestos'!$D$22,-'01_Supuestos'!$D$21*'01_Supuestos'!$D$13,0)</f>
        <v/>
      </c>
      <c r="I58" s="21">
        <f>IF(B58='01_Supuestos'!$D$24,-'01_Supuestos'!$D$23,0)</f>
        <v/>
      </c>
      <c r="J58" s="21">
        <f>SUM(F58:I58)</f>
        <v/>
      </c>
      <c r="K58" s="21">
        <f>E58+J58</f>
        <v/>
      </c>
    </row>
    <row r="59">
      <c r="B59" s="30" t="n">
        <v>46</v>
      </c>
      <c r="C59" s="21">
        <f>IF(B59=0,'01_Supuestos'!$D$7*(1-'01_Supuestos'!$D$8),0)</f>
        <v/>
      </c>
      <c r="D59" s="21">
        <f>IF(AND(B59&gt;=1,B59&lt;='01_Supuestos'!$D$10),'01_Supuestos'!$D$9,0)</f>
        <v/>
      </c>
      <c r="E59" s="21">
        <f>C59+D59</f>
        <v/>
      </c>
      <c r="F59" s="21">
        <f>IF(AND(B59&gt;='01_Supuestos'!$D$19,B59&lt;'01_Supuestos'!$D$19+'01_Supuestos'!$D$17),-'01_Supuestos'!$D$18,0)</f>
        <v/>
      </c>
      <c r="G59" s="21">
        <f>IF(AND(B59&gt;='01_Supuestos'!$D$20,B59&lt;'01_Supuestos'!$D$20+'01_Supuestos'!$D$17),-'01_Supuestos'!$D$18,0)</f>
        <v/>
      </c>
      <c r="H59" s="21">
        <f>IF(B59='01_Supuestos'!$D$22,-'01_Supuestos'!$D$21*'01_Supuestos'!$D$13,0)</f>
        <v/>
      </c>
      <c r="I59" s="21">
        <f>IF(B59='01_Supuestos'!$D$24,-'01_Supuestos'!$D$23,0)</f>
        <v/>
      </c>
      <c r="J59" s="21">
        <f>SUM(F59:I59)</f>
        <v/>
      </c>
      <c r="K59" s="21">
        <f>E59+J59</f>
        <v/>
      </c>
    </row>
    <row r="60">
      <c r="B60" s="30" t="n">
        <v>47</v>
      </c>
      <c r="C60" s="21">
        <f>IF(B60=0,'01_Supuestos'!$D$7*(1-'01_Supuestos'!$D$8),0)</f>
        <v/>
      </c>
      <c r="D60" s="21">
        <f>IF(AND(B60&gt;=1,B60&lt;='01_Supuestos'!$D$10),'01_Supuestos'!$D$9,0)</f>
        <v/>
      </c>
      <c r="E60" s="21">
        <f>C60+D60</f>
        <v/>
      </c>
      <c r="F60" s="21">
        <f>IF(AND(B60&gt;='01_Supuestos'!$D$19,B60&lt;'01_Supuestos'!$D$19+'01_Supuestos'!$D$17),-'01_Supuestos'!$D$18,0)</f>
        <v/>
      </c>
      <c r="G60" s="21">
        <f>IF(AND(B60&gt;='01_Supuestos'!$D$20,B60&lt;'01_Supuestos'!$D$20+'01_Supuestos'!$D$17),-'01_Supuestos'!$D$18,0)</f>
        <v/>
      </c>
      <c r="H60" s="21">
        <f>IF(B60='01_Supuestos'!$D$22,-'01_Supuestos'!$D$21*'01_Supuestos'!$D$13,0)</f>
        <v/>
      </c>
      <c r="I60" s="21">
        <f>IF(B60='01_Supuestos'!$D$24,-'01_Supuestos'!$D$23,0)</f>
        <v/>
      </c>
      <c r="J60" s="21">
        <f>SUM(F60:I60)</f>
        <v/>
      </c>
      <c r="K60" s="21">
        <f>E60+J60</f>
        <v/>
      </c>
    </row>
    <row r="61">
      <c r="B61" s="30" t="n">
        <v>48</v>
      </c>
      <c r="C61" s="21">
        <f>IF(B61=0,'01_Supuestos'!$D$7*(1-'01_Supuestos'!$D$8),0)</f>
        <v/>
      </c>
      <c r="D61" s="21">
        <f>IF(AND(B61&gt;=1,B61&lt;='01_Supuestos'!$D$10),'01_Supuestos'!$D$9,0)</f>
        <v/>
      </c>
      <c r="E61" s="21">
        <f>C61+D61</f>
        <v/>
      </c>
      <c r="F61" s="21">
        <f>IF(AND(B61&gt;='01_Supuestos'!$D$19,B61&lt;'01_Supuestos'!$D$19+'01_Supuestos'!$D$17),-'01_Supuestos'!$D$18,0)</f>
        <v/>
      </c>
      <c r="G61" s="21">
        <f>IF(AND(B61&gt;='01_Supuestos'!$D$20,B61&lt;'01_Supuestos'!$D$20+'01_Supuestos'!$D$17),-'01_Supuestos'!$D$18,0)</f>
        <v/>
      </c>
      <c r="H61" s="21">
        <f>IF(B61='01_Supuestos'!$D$22,-'01_Supuestos'!$D$21*'01_Supuestos'!$D$13,0)</f>
        <v/>
      </c>
      <c r="I61" s="21">
        <f>IF(B61='01_Supuestos'!$D$24,-'01_Supuestos'!$D$23,0)</f>
        <v/>
      </c>
      <c r="J61" s="21">
        <f>SUM(F61:I61)</f>
        <v/>
      </c>
      <c r="K61" s="21">
        <f>E61+J61</f>
        <v/>
      </c>
    </row>
    <row r="62">
      <c r="B62" s="30" t="n">
        <v>49</v>
      </c>
      <c r="C62" s="21">
        <f>IF(B62=0,'01_Supuestos'!$D$7*(1-'01_Supuestos'!$D$8),0)</f>
        <v/>
      </c>
      <c r="D62" s="21">
        <f>IF(AND(B62&gt;=1,B62&lt;='01_Supuestos'!$D$10),'01_Supuestos'!$D$9,0)</f>
        <v/>
      </c>
      <c r="E62" s="21">
        <f>C62+D62</f>
        <v/>
      </c>
      <c r="F62" s="21">
        <f>IF(AND(B62&gt;='01_Supuestos'!$D$19,B62&lt;'01_Supuestos'!$D$19+'01_Supuestos'!$D$17),-'01_Supuestos'!$D$18,0)</f>
        <v/>
      </c>
      <c r="G62" s="21">
        <f>IF(AND(B62&gt;='01_Supuestos'!$D$20,B62&lt;'01_Supuestos'!$D$20+'01_Supuestos'!$D$17),-'01_Supuestos'!$D$18,0)</f>
        <v/>
      </c>
      <c r="H62" s="21">
        <f>IF(B62='01_Supuestos'!$D$22,-'01_Supuestos'!$D$21*'01_Supuestos'!$D$13,0)</f>
        <v/>
      </c>
      <c r="I62" s="21">
        <f>IF(B62='01_Supuestos'!$D$24,-'01_Supuestos'!$D$23,0)</f>
        <v/>
      </c>
      <c r="J62" s="21">
        <f>SUM(F62:I62)</f>
        <v/>
      </c>
      <c r="K62" s="21">
        <f>E62+J62</f>
        <v/>
      </c>
    </row>
    <row r="63">
      <c r="B63" s="30" t="n">
        <v>50</v>
      </c>
      <c r="C63" s="21">
        <f>IF(B63=0,'01_Supuestos'!$D$7*(1-'01_Supuestos'!$D$8),0)</f>
        <v/>
      </c>
      <c r="D63" s="21">
        <f>IF(AND(B63&gt;=1,B63&lt;='01_Supuestos'!$D$10),'01_Supuestos'!$D$9,0)</f>
        <v/>
      </c>
      <c r="E63" s="21">
        <f>C63+D63</f>
        <v/>
      </c>
      <c r="F63" s="21">
        <f>IF(AND(B63&gt;='01_Supuestos'!$D$19,B63&lt;'01_Supuestos'!$D$19+'01_Supuestos'!$D$17),-'01_Supuestos'!$D$18,0)</f>
        <v/>
      </c>
      <c r="G63" s="21">
        <f>IF(AND(B63&gt;='01_Supuestos'!$D$20,B63&lt;'01_Supuestos'!$D$20+'01_Supuestos'!$D$17),-'01_Supuestos'!$D$18,0)</f>
        <v/>
      </c>
      <c r="H63" s="21">
        <f>IF(B63='01_Supuestos'!$D$22,-'01_Supuestos'!$D$21*'01_Supuestos'!$D$13,0)</f>
        <v/>
      </c>
      <c r="I63" s="21">
        <f>IF(B63='01_Supuestos'!$D$24,-'01_Supuestos'!$D$23,0)</f>
        <v/>
      </c>
      <c r="J63" s="21">
        <f>SUM(F63:I63)</f>
        <v/>
      </c>
      <c r="K63" s="21">
        <f>E63+J63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1" t="inlineStr">
        <is>
          <t>Estrategias activas: resultados y comparación con su benchmark</t>
        </is>
      </c>
    </row>
    <row r="3">
      <c r="B3" s="2" t="inlineStr">
        <is>
          <t>Backtests point-in-time (codigo/estrategias.py). Métricas vs T-Bills (BIL).</t>
        </is>
      </c>
    </row>
    <row r="5">
      <c r="B5" s="4" t="inlineStr">
        <is>
          <t>Estrategia</t>
        </is>
      </c>
      <c r="C5" s="4" t="inlineStr">
        <is>
          <t>Benchmark</t>
        </is>
      </c>
      <c r="D5" s="4" t="inlineStr">
        <is>
          <t>CAGR</t>
        </is>
      </c>
      <c r="E5" s="4" t="inlineStr">
        <is>
          <t>Volatilidad</t>
        </is>
      </c>
      <c r="F5" s="4" t="inlineStr">
        <is>
          <t>Sharpe</t>
        </is>
      </c>
      <c r="G5" s="4" t="inlineStr">
        <is>
          <t>Sortino</t>
        </is>
      </c>
      <c r="H5" s="4" t="inlineStr">
        <is>
          <t>Beta</t>
        </is>
      </c>
      <c r="I5" s="4" t="inlineStr">
        <is>
          <t>Alfa CAPM</t>
        </is>
      </c>
      <c r="J5" s="4" t="inlineStr">
        <is>
          <t>Máx. caída</t>
        </is>
      </c>
      <c r="K5" s="4" t="inlineStr">
        <is>
          <t>VaR 95% mensual</t>
        </is>
      </c>
      <c r="L5" s="4" t="inlineStr">
        <is>
          <t>CVaR 95% mensual</t>
        </is>
      </c>
      <c r="M5" s="4" t="inlineStr">
        <is>
          <t>Tracking error</t>
        </is>
      </c>
      <c r="N5" s="4" t="inlineStr">
        <is>
          <t>Information ratio</t>
        </is>
      </c>
    </row>
    <row r="6">
      <c r="B6" s="26" t="inlineStr">
        <is>
          <t>Momentum en acciones</t>
        </is>
      </c>
      <c r="C6" s="26" t="inlineStr">
        <is>
          <t>QMOM</t>
        </is>
      </c>
      <c r="D6" s="27" t="n">
        <v>0.1502049689168741</v>
      </c>
      <c r="E6" s="27" t="n">
        <v>0.2574305804956631</v>
      </c>
      <c r="F6" s="35" t="n">
        <v>0.5920450161214682</v>
      </c>
      <c r="G6" s="35" t="n">
        <v>0.6094812618298444</v>
      </c>
      <c r="H6" s="35" t="n">
        <v>1.118839242275369</v>
      </c>
      <c r="I6" s="27" t="n">
        <v>0.005254302662653504</v>
      </c>
      <c r="J6" s="27" t="n">
        <v>-0.3742419535852077</v>
      </c>
      <c r="K6" s="27" t="n">
        <v>0.08435479021790412</v>
      </c>
      <c r="L6" s="27" t="n">
        <v>0.1523060204856113</v>
      </c>
      <c r="M6" s="27" t="n">
        <v>0.1897073484073088</v>
      </c>
      <c r="N6" s="35" t="n">
        <v>0.2045561954113192</v>
      </c>
    </row>
    <row r="7">
      <c r="B7" s="26" t="inlineStr">
        <is>
          <t>Momentum en acciones (2013-2026)</t>
        </is>
      </c>
      <c r="C7" s="26" t="inlineStr">
        <is>
          <t>—</t>
        </is>
      </c>
      <c r="D7" s="27" t="n">
        <v>0.1618438769229014</v>
      </c>
      <c r="E7" s="27" t="n">
        <v>0.2376094730352182</v>
      </c>
      <c r="F7" s="35" t="n">
        <v>0.6844448610904847</v>
      </c>
      <c r="G7" s="35" t="n">
        <v>0.7120083611194731</v>
      </c>
      <c r="H7" s="35" t="n">
        <v>1.098335998673706</v>
      </c>
      <c r="I7" s="27" t="n">
        <v>0.01449447498280199</v>
      </c>
      <c r="J7" s="27" t="n">
        <v>-0.3742419535852082</v>
      </c>
      <c r="K7" s="27" t="n">
        <v>0.07653615623604523</v>
      </c>
      <c r="L7" s="27" t="n">
        <v>0.1363903402346966</v>
      </c>
      <c r="M7" s="27" t="n"/>
      <c r="N7" s="35" t="n"/>
    </row>
    <row r="8">
      <c r="B8" s="26" t="inlineStr">
        <is>
          <t>Low-Volatility</t>
        </is>
      </c>
      <c r="C8" s="26" t="inlineStr">
        <is>
          <t>SPLV</t>
        </is>
      </c>
      <c r="D8" s="27" t="n">
        <v>0.09566287189909262</v>
      </c>
      <c r="E8" s="27" t="n">
        <v>0.1226964777633885</v>
      </c>
      <c r="F8" s="35" t="n">
        <v>0.6360775520485236</v>
      </c>
      <c r="G8" s="35" t="n">
        <v>0.6481929950065546</v>
      </c>
      <c r="H8" s="35" t="n">
        <v>0.5146708401171128</v>
      </c>
      <c r="I8" s="27" t="n">
        <v>0.01035199820931146</v>
      </c>
      <c r="J8" s="27" t="n">
        <v>-0.178478223989074</v>
      </c>
      <c r="K8" s="27" t="n">
        <v>0.05172121333788912</v>
      </c>
      <c r="L8" s="27" t="n">
        <v>0.06918815190916626</v>
      </c>
      <c r="M8" s="27" t="n">
        <v>0.04432061829224001</v>
      </c>
      <c r="N8" s="35" t="n">
        <v>0.1803673041082557</v>
      </c>
    </row>
    <row r="9">
      <c r="B9" s="26" t="inlineStr">
        <is>
          <t>Low-Volatility (2013-2026)</t>
        </is>
      </c>
      <c r="C9" s="26" t="inlineStr">
        <is>
          <t>—</t>
        </is>
      </c>
      <c r="D9" s="27" t="n">
        <v>0.1071607336590132</v>
      </c>
      <c r="E9" s="27" t="n">
        <v>0.1196037480284665</v>
      </c>
      <c r="F9" s="35" t="n">
        <v>0.7779830876441269</v>
      </c>
      <c r="G9" s="35" t="n">
        <v>0.7947274691867576</v>
      </c>
      <c r="H9" s="35" t="n">
        <v>0.5426249453251291</v>
      </c>
      <c r="I9" s="27" t="n">
        <v>0.01986412202711706</v>
      </c>
      <c r="J9" s="27" t="n">
        <v>-0.178478223989074</v>
      </c>
      <c r="K9" s="27" t="n">
        <v>0.04973232073542835</v>
      </c>
      <c r="L9" s="27" t="n">
        <v>0.06531383826190287</v>
      </c>
      <c r="M9" s="27" t="n"/>
      <c r="N9" s="35" t="n"/>
    </row>
    <row r="10">
      <c r="B10" s="26" t="inlineStr">
        <is>
          <t>Momentum en commodities</t>
        </is>
      </c>
      <c r="C10" s="26" t="inlineStr">
        <is>
          <t>DJP</t>
        </is>
      </c>
      <c r="D10" s="27" t="n">
        <v>0.1059737629634363</v>
      </c>
      <c r="E10" s="27" t="n">
        <v>0.1915664201125896</v>
      </c>
      <c r="F10" s="35" t="n">
        <v>0.5122823160508626</v>
      </c>
      <c r="G10" s="35" t="n">
        <v>0.501109435994997</v>
      </c>
      <c r="H10" s="35" t="n">
        <v>0.16737434321456</v>
      </c>
      <c r="I10" s="27" t="n">
        <v>0.07612205050138063</v>
      </c>
      <c r="J10" s="27" t="n">
        <v>-0.3143638938037138</v>
      </c>
      <c r="K10" s="27" t="n">
        <v>0.06754948275744886</v>
      </c>
      <c r="L10" s="27" t="n">
        <v>0.1173117246273089</v>
      </c>
      <c r="M10" s="27" t="n">
        <v>0.1962564546614131</v>
      </c>
      <c r="N10" s="35" t="n">
        <v>0.1220288343904893</v>
      </c>
    </row>
    <row r="11">
      <c r="B11" s="26" t="inlineStr">
        <is>
          <t>Momentum en commodities (2013-2026)</t>
        </is>
      </c>
      <c r="C11" s="26" t="inlineStr">
        <is>
          <t>—</t>
        </is>
      </c>
      <c r="D11" s="27" t="n">
        <v>0.07945914007391841</v>
      </c>
      <c r="E11" s="27" t="n">
        <v>0.1698691890165765</v>
      </c>
      <c r="F11" s="35" t="n">
        <v>0.4395103827339811</v>
      </c>
      <c r="G11" s="35" t="n">
        <v>0.3969913433860026</v>
      </c>
      <c r="H11" s="35" t="n">
        <v>0.1458954336728013</v>
      </c>
      <c r="I11" s="27" t="n">
        <v>0.05498188602086722</v>
      </c>
      <c r="J11" s="27" t="n">
        <v>-0.3143638938037138</v>
      </c>
      <c r="K11" s="27" t="n">
        <v>0.06528581198700058</v>
      </c>
      <c r="L11" s="27" t="n">
        <v>0.105921218096706</v>
      </c>
      <c r="M11" s="27" t="n"/>
      <c r="N11" s="3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1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" t="inlineStr">
        <is>
          <t>Retornos mensuales nominales en USD (ene-2013 a ago-2026, 164 meses)</t>
        </is>
      </c>
    </row>
    <row r="3">
      <c r="B3" s="2" t="inlineStr">
        <is>
          <t>Fuente: backtests point-in-time (estrategias activas) y Yahoo Finance ajustado por dividendos (ETF).</t>
        </is>
      </c>
    </row>
    <row r="5">
      <c r="B5" s="4" t="inlineStr">
        <is>
          <t>Fecha</t>
        </is>
      </c>
      <c r="C5" s="4" t="inlineStr">
        <is>
          <t>SPY</t>
        </is>
      </c>
      <c r="D5" s="4" t="inlineStr">
        <is>
          <t>TLH</t>
        </is>
      </c>
      <c r="E5" s="4" t="inlineStr">
        <is>
          <t>VCLT</t>
        </is>
      </c>
      <c r="F5" s="4" t="inlineStr">
        <is>
          <t>MOM_CMD</t>
        </is>
      </c>
      <c r="G5" s="4" t="inlineStr">
        <is>
          <t>MOM_EQ</t>
        </is>
      </c>
      <c r="H5" s="4" t="inlineStr">
        <is>
          <t>LOW_VOL</t>
        </is>
      </c>
      <c r="I5" s="4" t="inlineStr">
        <is>
          <t>BM_SPY</t>
        </is>
      </c>
      <c r="J5" s="4" t="inlineStr">
        <is>
          <t>BM_TLH</t>
        </is>
      </c>
      <c r="K5" s="4" t="inlineStr">
        <is>
          <t>BM_VCLT</t>
        </is>
      </c>
      <c r="L5" s="4" t="inlineStr">
        <is>
          <t>BM_MOM_CMD</t>
        </is>
      </c>
      <c r="M5" s="4" t="inlineStr">
        <is>
          <t>BM_MOM_EQ</t>
        </is>
      </c>
      <c r="N5" s="4" t="inlineStr">
        <is>
          <t>BM_LOW_VOL</t>
        </is>
      </c>
    </row>
    <row r="6">
      <c r="B6" s="36" t="n">
        <v>41305</v>
      </c>
      <c r="C6" s="37" t="n">
        <v>0.0511903672899745</v>
      </c>
      <c r="D6" s="37" t="n">
        <v>-0.01994604440433845</v>
      </c>
      <c r="E6" s="37" t="n">
        <v>-0.0227151085298205</v>
      </c>
      <c r="F6" s="37" t="n">
        <v>0</v>
      </c>
      <c r="G6" s="37" t="n">
        <v>0.08962603724280867</v>
      </c>
      <c r="H6" s="37" t="n">
        <v>0.06277107172116303</v>
      </c>
      <c r="I6" s="37" t="n">
        <v>0.0511903672899745</v>
      </c>
      <c r="J6" s="37" t="n">
        <v>-0.01994604440433845</v>
      </c>
      <c r="K6" s="37" t="n">
        <v>-0.0227151085298205</v>
      </c>
      <c r="L6" s="37" t="n">
        <v>0.0229746263118733</v>
      </c>
      <c r="M6" s="37" t="n"/>
      <c r="N6" s="37" t="n">
        <v>0.04857146665913437</v>
      </c>
    </row>
    <row r="7">
      <c r="B7" s="36" t="n">
        <v>41333</v>
      </c>
      <c r="C7" s="37" t="n">
        <v>0.01275895387026016</v>
      </c>
      <c r="D7" s="37" t="n">
        <v>0.01179200497853783</v>
      </c>
      <c r="E7" s="37" t="n">
        <v>0.01733856232017028</v>
      </c>
      <c r="F7" s="37" t="n">
        <v>0</v>
      </c>
      <c r="G7" s="37" t="n">
        <v>0.03185967951928166</v>
      </c>
      <c r="H7" s="37" t="n">
        <v>0.0446183120274634</v>
      </c>
      <c r="I7" s="37" t="n">
        <v>0.01275895387026016</v>
      </c>
      <c r="J7" s="37" t="n">
        <v>0.01179200497853783</v>
      </c>
      <c r="K7" s="37" t="n">
        <v>0.01733856232017028</v>
      </c>
      <c r="L7" s="37" t="n">
        <v>-0.04586285252244837</v>
      </c>
      <c r="M7" s="37" t="n"/>
      <c r="N7" s="37" t="n">
        <v>0.02829344515495125</v>
      </c>
    </row>
    <row r="8">
      <c r="B8" s="36" t="n">
        <v>41364</v>
      </c>
      <c r="C8" s="37" t="n">
        <v>0.03797080132304886</v>
      </c>
      <c r="D8" s="37" t="n">
        <v>0.003730667232243023</v>
      </c>
      <c r="E8" s="37" t="n">
        <v>-0.01095084144812353</v>
      </c>
      <c r="F8" s="37" t="n">
        <v>0</v>
      </c>
      <c r="G8" s="37" t="n">
        <v>0.06571610439680772</v>
      </c>
      <c r="H8" s="37" t="n">
        <v>0.0565484848285761</v>
      </c>
      <c r="I8" s="37" t="n">
        <v>0.03797080132304886</v>
      </c>
      <c r="J8" s="37" t="n">
        <v>0.003730667232243023</v>
      </c>
      <c r="K8" s="37" t="n">
        <v>-0.01095084144812353</v>
      </c>
      <c r="L8" s="37" t="n">
        <v>0.006441980118962576</v>
      </c>
      <c r="M8" s="37" t="n"/>
      <c r="N8" s="37" t="n">
        <v>0.04891313651384421</v>
      </c>
    </row>
    <row r="9">
      <c r="B9" s="36" t="n">
        <v>41394</v>
      </c>
      <c r="C9" s="37" t="n">
        <v>0.0192124123370272</v>
      </c>
      <c r="D9" s="37" t="n">
        <v>0.02477075686230634</v>
      </c>
      <c r="E9" s="37" t="n">
        <v>0.0449977197244682</v>
      </c>
      <c r="F9" s="37" t="n">
        <v>-0.0002186708400088166</v>
      </c>
      <c r="G9" s="37" t="n">
        <v>-0.01521392255233065</v>
      </c>
      <c r="H9" s="37" t="n">
        <v>0.02775794261380903</v>
      </c>
      <c r="I9" s="37" t="n">
        <v>0.0192124123370272</v>
      </c>
      <c r="J9" s="37" t="n">
        <v>0.02477075686230634</v>
      </c>
      <c r="K9" s="37" t="n">
        <v>0.0449977197244682</v>
      </c>
      <c r="L9" s="37" t="n">
        <v>-0.02831112115758694</v>
      </c>
      <c r="M9" s="37" t="n"/>
      <c r="N9" s="37" t="n">
        <v>0.0377084821974274</v>
      </c>
    </row>
    <row r="10">
      <c r="B10" s="36" t="n">
        <v>41425</v>
      </c>
      <c r="C10" s="37" t="n">
        <v>0.02361022611846608</v>
      </c>
      <c r="D10" s="37" t="n">
        <v>-0.04340761797165882</v>
      </c>
      <c r="E10" s="37" t="n">
        <v>-0.05805080449234035</v>
      </c>
      <c r="F10" s="37" t="n">
        <v>0.000218718667403639</v>
      </c>
      <c r="G10" s="37" t="n">
        <v>0.06032062877312989</v>
      </c>
      <c r="H10" s="37" t="n">
        <v>-0.03236138882134964</v>
      </c>
      <c r="I10" s="37" t="n">
        <v>0.02361022611846608</v>
      </c>
      <c r="J10" s="37" t="n">
        <v>-0.04340761797165882</v>
      </c>
      <c r="K10" s="37" t="n">
        <v>-0.05805080449234035</v>
      </c>
      <c r="L10" s="37" t="n">
        <v>-0.02938940490337905</v>
      </c>
      <c r="M10" s="37" t="n"/>
      <c r="N10" s="37" t="n">
        <v>-0.03610390324231771</v>
      </c>
    </row>
    <row r="11">
      <c r="B11" s="36" t="n">
        <v>41455</v>
      </c>
      <c r="C11" s="37" t="n">
        <v>-0.01334513179881502</v>
      </c>
      <c r="D11" s="37" t="n">
        <v>-0.02967313483737277</v>
      </c>
      <c r="E11" s="37" t="n">
        <v>-0.04421507744874398</v>
      </c>
      <c r="F11" s="37" t="n">
        <v>-0.0002186708400088166</v>
      </c>
      <c r="G11" s="37" t="n">
        <v>-0.06767319230530891</v>
      </c>
      <c r="H11" s="37" t="n">
        <v>0.01476386440430578</v>
      </c>
      <c r="I11" s="37" t="n">
        <v>-0.01334513179881502</v>
      </c>
      <c r="J11" s="37" t="n">
        <v>-0.02967313483737277</v>
      </c>
      <c r="K11" s="37" t="n">
        <v>-0.04421507744874398</v>
      </c>
      <c r="L11" s="37" t="n">
        <v>-0.04750716861349646</v>
      </c>
      <c r="M11" s="37" t="n"/>
      <c r="N11" s="37" t="n">
        <v>0.007842621169778408</v>
      </c>
    </row>
    <row r="12">
      <c r="B12" s="36" t="n">
        <v>41486</v>
      </c>
      <c r="C12" s="37" t="n">
        <v>0.05167743400962088</v>
      </c>
      <c r="D12" s="37" t="n">
        <v>-0.009327101374603575</v>
      </c>
      <c r="E12" s="37" t="n">
        <v>0.009834988921200827</v>
      </c>
      <c r="F12" s="37" t="n">
        <v>0</v>
      </c>
      <c r="G12" s="37" t="n">
        <v>0.08088579443162534</v>
      </c>
      <c r="H12" s="37" t="n">
        <v>0.03217995254101227</v>
      </c>
      <c r="I12" s="37" t="n">
        <v>0.05167743400962088</v>
      </c>
      <c r="J12" s="37" t="n">
        <v>-0.009327101374603575</v>
      </c>
      <c r="K12" s="37" t="n">
        <v>0.009834988921200827</v>
      </c>
      <c r="L12" s="37" t="n">
        <v>0.01425038693197056</v>
      </c>
      <c r="M12" s="37" t="n"/>
      <c r="N12" s="37" t="n">
        <v>0.04188590409109461</v>
      </c>
    </row>
    <row r="13">
      <c r="B13" s="36" t="n">
        <v>41517</v>
      </c>
      <c r="C13" s="37" t="n">
        <v>-0.02999247935092331</v>
      </c>
      <c r="D13" s="37" t="n">
        <v>-0.009696860344873492</v>
      </c>
      <c r="E13" s="37" t="n">
        <v>-0.01460645366845648</v>
      </c>
      <c r="F13" s="37" t="n">
        <v>0</v>
      </c>
      <c r="G13" s="37" t="n">
        <v>-0.001354368708512712</v>
      </c>
      <c r="H13" s="37" t="n">
        <v>-0.04900191074060157</v>
      </c>
      <c r="I13" s="37" t="n">
        <v>-0.02999247935092331</v>
      </c>
      <c r="J13" s="37" t="n">
        <v>-0.009696860344873492</v>
      </c>
      <c r="K13" s="37" t="n">
        <v>-0.01460645366845648</v>
      </c>
      <c r="L13" s="37" t="n">
        <v>0.03917862276950745</v>
      </c>
      <c r="M13" s="37" t="n"/>
      <c r="N13" s="37" t="n">
        <v>-0.05041040457528589</v>
      </c>
    </row>
    <row r="14">
      <c r="B14" s="36" t="n">
        <v>41547</v>
      </c>
      <c r="C14" s="37" t="n">
        <v>0.03164644167930675</v>
      </c>
      <c r="D14" s="37" t="n">
        <v>0.01434113588859476</v>
      </c>
      <c r="E14" s="37" t="n">
        <v>0.005719496492020859</v>
      </c>
      <c r="F14" s="37" t="n">
        <v>-0.0002180928629188505</v>
      </c>
      <c r="G14" s="37" t="n">
        <v>0.08027341111802087</v>
      </c>
      <c r="H14" s="37" t="n">
        <v>0.008317165243471382</v>
      </c>
      <c r="I14" s="37" t="n">
        <v>0.03164644167930675</v>
      </c>
      <c r="J14" s="37" t="n">
        <v>0.01434113588859476</v>
      </c>
      <c r="K14" s="37" t="n">
        <v>0.005719496492020859</v>
      </c>
      <c r="L14" s="37" t="n">
        <v>-0.03120126862987693</v>
      </c>
      <c r="M14" s="37" t="n"/>
      <c r="N14" s="37" t="n">
        <v>0.02040331429479081</v>
      </c>
    </row>
    <row r="15">
      <c r="B15" s="36" t="n">
        <v>41578</v>
      </c>
      <c r="C15" s="37" t="n">
        <v>0.04630653913410021</v>
      </c>
      <c r="D15" s="37" t="n">
        <v>0.01013184200002382</v>
      </c>
      <c r="E15" s="37" t="n">
        <v>0.02502404253420987</v>
      </c>
      <c r="F15" s="37" t="n">
        <v>-0.0002186620552897534</v>
      </c>
      <c r="G15" s="37" t="n">
        <v>0.04375268079620675</v>
      </c>
      <c r="H15" s="37" t="n">
        <v>0.04509976943265868</v>
      </c>
      <c r="I15" s="37" t="n">
        <v>0.04630653913410021</v>
      </c>
      <c r="J15" s="37" t="n">
        <v>0.01013184200002382</v>
      </c>
      <c r="K15" s="37" t="n">
        <v>0.02502404253420987</v>
      </c>
      <c r="L15" s="37" t="n">
        <v>-0.01717658127962318</v>
      </c>
      <c r="M15" s="37" t="n"/>
      <c r="N15" s="37" t="n">
        <v>0.04642103494147398</v>
      </c>
    </row>
    <row r="16">
      <c r="B16" s="36" t="n">
        <v>41608</v>
      </c>
      <c r="C16" s="37" t="n">
        <v>0.02963797590527562</v>
      </c>
      <c r="D16" s="37" t="n">
        <v>-0.01811520651198373</v>
      </c>
      <c r="E16" s="37" t="n">
        <v>-0.009287451795288115</v>
      </c>
      <c r="F16" s="37" t="n">
        <v>-0.0002186055325251735</v>
      </c>
      <c r="G16" s="37" t="n">
        <v>0.0386513246213824</v>
      </c>
      <c r="H16" s="37" t="n">
        <v>0.02082363170074797</v>
      </c>
      <c r="I16" s="37" t="n">
        <v>0.02963797590527562</v>
      </c>
      <c r="J16" s="37" t="n">
        <v>-0.01811520651198373</v>
      </c>
      <c r="K16" s="37" t="n">
        <v>-0.009287451795288115</v>
      </c>
      <c r="L16" s="37" t="n">
        <v>-0.008465253075795043</v>
      </c>
      <c r="M16" s="37" t="n"/>
      <c r="N16" s="37" t="n">
        <v>0.01107123482777683</v>
      </c>
    </row>
    <row r="17">
      <c r="B17" s="36" t="n">
        <v>41639</v>
      </c>
      <c r="C17" s="37" t="n">
        <v>0.02592613903855212</v>
      </c>
      <c r="D17" s="37" t="n">
        <v>-0.01835163067449042</v>
      </c>
      <c r="E17" s="37" t="n">
        <v>0.008464250933659656</v>
      </c>
      <c r="F17" s="37" t="n">
        <v>0</v>
      </c>
      <c r="G17" s="37" t="n">
        <v>0.0009902322083997998</v>
      </c>
      <c r="H17" s="37" t="n">
        <v>-7.922446699759578e-05</v>
      </c>
      <c r="I17" s="37" t="n">
        <v>0.02592613903855212</v>
      </c>
      <c r="J17" s="37" t="n">
        <v>-0.01835163067449042</v>
      </c>
      <c r="K17" s="37" t="n">
        <v>0.008464250933659656</v>
      </c>
      <c r="L17" s="37" t="n">
        <v>0.01211783558434787</v>
      </c>
      <c r="M17" s="37" t="n"/>
      <c r="N17" s="37" t="n">
        <v>0.01126378501206671</v>
      </c>
    </row>
    <row r="18">
      <c r="B18" s="36" t="n">
        <v>41670</v>
      </c>
      <c r="C18" s="37" t="n">
        <v>-0.03524820485574853</v>
      </c>
      <c r="D18" s="37" t="n">
        <v>0.04085235908408369</v>
      </c>
      <c r="E18" s="37" t="n">
        <v>0.03651056577734457</v>
      </c>
      <c r="F18" s="37" t="n">
        <v>0</v>
      </c>
      <c r="G18" s="37" t="n">
        <v>0.001037689284488623</v>
      </c>
      <c r="H18" s="37" t="n">
        <v>-0.04458063970406304</v>
      </c>
      <c r="I18" s="37" t="n">
        <v>-0.03524820485574853</v>
      </c>
      <c r="J18" s="37" t="n">
        <v>0.04085235908408369</v>
      </c>
      <c r="K18" s="37" t="n">
        <v>0.03651056577734457</v>
      </c>
      <c r="L18" s="37" t="n">
        <v>0.001360523457429874</v>
      </c>
      <c r="M18" s="37" t="n"/>
      <c r="N18" s="37" t="n">
        <v>-0.02572892437063334</v>
      </c>
    </row>
    <row r="19">
      <c r="B19" s="36" t="n">
        <v>41698</v>
      </c>
      <c r="C19" s="37" t="n">
        <v>0.04551574625871768</v>
      </c>
      <c r="D19" s="37" t="n">
        <v>0.005333671887012947</v>
      </c>
      <c r="E19" s="37" t="n">
        <v>0.0138078550955909</v>
      </c>
      <c r="F19" s="37" t="n">
        <v>0.0002186533313530692</v>
      </c>
      <c r="G19" s="37" t="n">
        <v>0.06719659034695169</v>
      </c>
      <c r="H19" s="37" t="n">
        <v>0.0242608034886025</v>
      </c>
      <c r="I19" s="37" t="n">
        <v>0.04551574625871768</v>
      </c>
      <c r="J19" s="37" t="n">
        <v>0.005333671887012947</v>
      </c>
      <c r="K19" s="37" t="n">
        <v>0.0138078550955909</v>
      </c>
      <c r="L19" s="37" t="n">
        <v>0.06875007191430127</v>
      </c>
      <c r="M19" s="37" t="n"/>
      <c r="N19" s="37" t="n">
        <v>0.03794356939657662</v>
      </c>
    </row>
    <row r="20">
      <c r="B20" s="36" t="n">
        <v>41729</v>
      </c>
      <c r="C20" s="37" t="n">
        <v>0.008295194479090551</v>
      </c>
      <c r="D20" s="37" t="n">
        <v>0.0003735868413186072</v>
      </c>
      <c r="E20" s="37" t="n">
        <v>0.00838960871638883</v>
      </c>
      <c r="F20" s="37" t="n">
        <v>-0.0002186055325251735</v>
      </c>
      <c r="G20" s="37" t="n">
        <v>-0.03378148473743145</v>
      </c>
      <c r="H20" s="37" t="n">
        <v>0.03188073989974294</v>
      </c>
      <c r="I20" s="37" t="n">
        <v>0.008295194479090551</v>
      </c>
      <c r="J20" s="37" t="n">
        <v>0.0003735868413186072</v>
      </c>
      <c r="K20" s="37" t="n">
        <v>0.00838960871638883</v>
      </c>
      <c r="L20" s="37" t="n">
        <v>0.003051078726114209</v>
      </c>
      <c r="M20" s="37" t="n"/>
      <c r="N20" s="37" t="n">
        <v>0.0213075369746345</v>
      </c>
    </row>
    <row r="21">
      <c r="B21" s="36" t="n">
        <v>41759</v>
      </c>
      <c r="C21" s="37" t="n">
        <v>0.00695174795872866</v>
      </c>
      <c r="D21" s="37" t="n">
        <v>0.01131148945208671</v>
      </c>
      <c r="E21" s="37" t="n">
        <v>0.02587392724328774</v>
      </c>
      <c r="F21" s="37" t="n">
        <v>0</v>
      </c>
      <c r="G21" s="37" t="n">
        <v>-0.01625402003432551</v>
      </c>
      <c r="H21" s="37" t="n">
        <v>0.03018332201284631</v>
      </c>
      <c r="I21" s="37" t="n">
        <v>0.00695174795872866</v>
      </c>
      <c r="J21" s="37" t="n">
        <v>0.01131148945208671</v>
      </c>
      <c r="K21" s="37" t="n">
        <v>0.02587392724328774</v>
      </c>
      <c r="L21" s="37" t="n">
        <v>0.02712293217062256</v>
      </c>
      <c r="M21" s="37" t="n"/>
      <c r="N21" s="37" t="n">
        <v>0.01854065219030887</v>
      </c>
    </row>
    <row r="22">
      <c r="B22" s="36" t="n">
        <v>41790</v>
      </c>
      <c r="C22" s="37" t="n">
        <v>0.02320622313769549</v>
      </c>
      <c r="D22" s="37" t="n">
        <v>0.02175907994522142</v>
      </c>
      <c r="E22" s="37" t="n">
        <v>0.01861715306598821</v>
      </c>
      <c r="F22" s="37" t="n">
        <v>-0.0005</v>
      </c>
      <c r="G22" s="37" t="n">
        <v>0.02865864400364854</v>
      </c>
      <c r="H22" s="37" t="n">
        <v>0.002752627882697933</v>
      </c>
      <c r="I22" s="37" t="n">
        <v>0.02320622313769549</v>
      </c>
      <c r="J22" s="37" t="n">
        <v>0.02175907994522142</v>
      </c>
      <c r="K22" s="37" t="n">
        <v>0.01861715306598821</v>
      </c>
      <c r="L22" s="37" t="n">
        <v>-0.03282334195531489</v>
      </c>
      <c r="M22" s="37" t="n"/>
      <c r="N22" s="37" t="n">
        <v>0.0107200428194365</v>
      </c>
    </row>
    <row r="23">
      <c r="B23" s="36" t="n">
        <v>41820</v>
      </c>
      <c r="C23" s="37" t="n">
        <v>0.0206452054910502</v>
      </c>
      <c r="D23" s="37" t="n">
        <v>-0.002855020637302808</v>
      </c>
      <c r="E23" s="37" t="n">
        <v>0.0007420493322423116</v>
      </c>
      <c r="F23" s="37" t="n">
        <v>-0.009521886043186212</v>
      </c>
      <c r="G23" s="37" t="n">
        <v>0.01258584421578939</v>
      </c>
      <c r="H23" s="37" t="n">
        <v>0.01706979786008148</v>
      </c>
      <c r="I23" s="37" t="n">
        <v>0.0206452054910502</v>
      </c>
      <c r="J23" s="37" t="n">
        <v>-0.002855020637302808</v>
      </c>
      <c r="K23" s="37" t="n">
        <v>0.0007420493322423116</v>
      </c>
      <c r="L23" s="37" t="n">
        <v>0.006379178585365297</v>
      </c>
      <c r="M23" s="37" t="n"/>
      <c r="N23" s="37" t="n">
        <v>0.02208948027633695</v>
      </c>
    </row>
    <row r="24">
      <c r="B24" s="36" t="n">
        <v>41851</v>
      </c>
      <c r="C24" s="37" t="n">
        <v>-0.01343783905314411</v>
      </c>
      <c r="D24" s="37" t="n">
        <v>0.0006354050459993488</v>
      </c>
      <c r="E24" s="37" t="n">
        <v>0.0009567869958899688</v>
      </c>
      <c r="F24" s="37" t="n">
        <v>-0.0007189097521841932</v>
      </c>
      <c r="G24" s="37" t="n">
        <v>-0.02824283298976486</v>
      </c>
      <c r="H24" s="37" t="n">
        <v>-0.03337697381097574</v>
      </c>
      <c r="I24" s="37" t="n">
        <v>-0.01343783905314411</v>
      </c>
      <c r="J24" s="37" t="n">
        <v>0.0006354050459993488</v>
      </c>
      <c r="K24" s="37" t="n">
        <v>0.0009567869958899688</v>
      </c>
      <c r="L24" s="37" t="n">
        <v>-0.05628796864365149</v>
      </c>
      <c r="M24" s="37" t="n"/>
      <c r="N24" s="37" t="n">
        <v>-0.0399934632332295</v>
      </c>
    </row>
    <row r="25">
      <c r="B25" s="36" t="n">
        <v>41882</v>
      </c>
      <c r="C25" s="37" t="n">
        <v>0.03946365452188494</v>
      </c>
      <c r="D25" s="37" t="n">
        <v>0.02666784247350229</v>
      </c>
      <c r="E25" s="37" t="n">
        <v>0.03256407915569071</v>
      </c>
      <c r="F25" s="37" t="n">
        <v>-0.0159185401430722</v>
      </c>
      <c r="G25" s="37" t="n">
        <v>0.0608247222387107</v>
      </c>
      <c r="H25" s="37" t="n">
        <v>0.03831182694798791</v>
      </c>
      <c r="I25" s="37" t="n">
        <v>0.03946365452188494</v>
      </c>
      <c r="J25" s="37" t="n">
        <v>0.02666784247350229</v>
      </c>
      <c r="K25" s="37" t="n">
        <v>0.03256407915569071</v>
      </c>
      <c r="L25" s="37" t="n">
        <v>-0.009134877523829021</v>
      </c>
      <c r="M25" s="37" t="n"/>
      <c r="N25" s="37" t="n">
        <v>0.03848707978892985</v>
      </c>
    </row>
    <row r="26">
      <c r="B26" s="36" t="n">
        <v>41912</v>
      </c>
      <c r="C26" s="37" t="n">
        <v>-0.01379625187350542</v>
      </c>
      <c r="D26" s="37" t="n">
        <v>-0.01302257832374099</v>
      </c>
      <c r="E26" s="37" t="n">
        <v>-0.02964594257547915</v>
      </c>
      <c r="F26" s="37" t="n">
        <v>0</v>
      </c>
      <c r="G26" s="37" t="n">
        <v>-0.02198840409315922</v>
      </c>
      <c r="H26" s="37" t="n">
        <v>0.001193379846965859</v>
      </c>
      <c r="I26" s="37" t="n">
        <v>-0.01379625187350542</v>
      </c>
      <c r="J26" s="37" t="n">
        <v>-0.01302257832374099</v>
      </c>
      <c r="K26" s="37" t="n">
        <v>-0.02964594257547915</v>
      </c>
      <c r="L26" s="37" t="n">
        <v>-0.06805862428242992</v>
      </c>
      <c r="M26" s="37" t="n"/>
      <c r="N26" s="37" t="n">
        <v>-0.008622345487866556</v>
      </c>
    </row>
    <row r="27">
      <c r="B27" s="36" t="n">
        <v>41943</v>
      </c>
      <c r="C27" s="37" t="n">
        <v>0.0235511779265829</v>
      </c>
      <c r="D27" s="37" t="n">
        <v>0.01800322012514832</v>
      </c>
      <c r="E27" s="37" t="n">
        <v>0.02297295995073045</v>
      </c>
      <c r="F27" s="37" t="n">
        <v>-0.0002189097521841932</v>
      </c>
      <c r="G27" s="37" t="n">
        <v>-0.02153549890646778</v>
      </c>
      <c r="H27" s="37" t="n">
        <v>0.0322573354144251</v>
      </c>
      <c r="I27" s="37" t="n">
        <v>0.0235511779265829</v>
      </c>
      <c r="J27" s="37" t="n">
        <v>0.01800322012514832</v>
      </c>
      <c r="K27" s="37" t="n">
        <v>0.02297295995073045</v>
      </c>
      <c r="L27" s="37" t="n">
        <v>-0.0090194229917816</v>
      </c>
      <c r="M27" s="37" t="n"/>
      <c r="N27" s="37" t="n">
        <v>0.04886410184629963</v>
      </c>
    </row>
    <row r="28">
      <c r="B28" s="36" t="n">
        <v>41973</v>
      </c>
      <c r="C28" s="37" t="n">
        <v>0.02747133511202615</v>
      </c>
      <c r="D28" s="37" t="n">
        <v>0.01214536377502129</v>
      </c>
      <c r="E28" s="37" t="n">
        <v>0.006027638857381223</v>
      </c>
      <c r="F28" s="37" t="n">
        <v>0</v>
      </c>
      <c r="G28" s="37" t="n">
        <v>0.04649422468341788</v>
      </c>
      <c r="H28" s="37" t="n">
        <v>0.05499389247055498</v>
      </c>
      <c r="I28" s="37" t="n">
        <v>0.02747133511202615</v>
      </c>
      <c r="J28" s="37" t="n">
        <v>0.01214536377502129</v>
      </c>
      <c r="K28" s="37" t="n">
        <v>0.006027638857381223</v>
      </c>
      <c r="L28" s="37" t="n">
        <v>-0.04227840232958602</v>
      </c>
      <c r="M28" s="37" t="n"/>
      <c r="N28" s="37" t="n">
        <v>0.02885281720241673</v>
      </c>
    </row>
    <row r="29">
      <c r="B29" s="36" t="n">
        <v>42004</v>
      </c>
      <c r="C29" s="37" t="n">
        <v>-0.002536192809820315</v>
      </c>
      <c r="D29" s="37" t="n">
        <v>0.01423297232569176</v>
      </c>
      <c r="E29" s="37" t="n">
        <v>0.01776375130356866</v>
      </c>
      <c r="F29" s="37" t="n">
        <v>-0.000218122366334228</v>
      </c>
      <c r="G29" s="37" t="n">
        <v>-0.004154693412289956</v>
      </c>
      <c r="H29" s="37" t="n">
        <v>0.01425312878123379</v>
      </c>
      <c r="I29" s="37" t="n">
        <v>-0.002536192809820315</v>
      </c>
      <c r="J29" s="37" t="n">
        <v>0.01423297232569176</v>
      </c>
      <c r="K29" s="37" t="n">
        <v>0.01776375130356866</v>
      </c>
      <c r="L29" s="37" t="n">
        <v>-0.08307784099354276</v>
      </c>
      <c r="M29" s="37" t="n"/>
      <c r="N29" s="37" t="n">
        <v>0.01187332697027443</v>
      </c>
    </row>
    <row r="30">
      <c r="B30" s="36" t="n">
        <v>42035</v>
      </c>
      <c r="C30" s="37" t="n">
        <v>-0.0296293087441305</v>
      </c>
      <c r="D30" s="37" t="n">
        <v>0.04949349323539232</v>
      </c>
      <c r="E30" s="37" t="n">
        <v>0.05637288423258946</v>
      </c>
      <c r="F30" s="37" t="n">
        <v>-0.0002189010166364636</v>
      </c>
      <c r="G30" s="37" t="n">
        <v>0.01101600679456031</v>
      </c>
      <c r="H30" s="37" t="n">
        <v>0.005891150993277902</v>
      </c>
      <c r="I30" s="37" t="n">
        <v>-0.0296293087441305</v>
      </c>
      <c r="J30" s="37" t="n">
        <v>0.04949349323539232</v>
      </c>
      <c r="K30" s="37" t="n">
        <v>0.05637288423258946</v>
      </c>
      <c r="L30" s="37" t="n">
        <v>-0.04480107520641896</v>
      </c>
      <c r="M30" s="37" t="n"/>
      <c r="N30" s="37" t="n">
        <v>-0.005677886076954297</v>
      </c>
    </row>
    <row r="31">
      <c r="B31" s="36" t="n">
        <v>42063</v>
      </c>
      <c r="C31" s="37" t="n">
        <v>0.05620442228838085</v>
      </c>
      <c r="D31" s="37" t="n">
        <v>-0.02880969859195914</v>
      </c>
      <c r="E31" s="37" t="n">
        <v>-0.03190641879189482</v>
      </c>
      <c r="F31" s="37" t="n">
        <v>0</v>
      </c>
      <c r="G31" s="37" t="n">
        <v>0.05370128957860363</v>
      </c>
      <c r="H31" s="37" t="n">
        <v>0.01245487687054313</v>
      </c>
      <c r="I31" s="37" t="n">
        <v>0.05620442228838085</v>
      </c>
      <c r="J31" s="37" t="n">
        <v>-0.02880969859195914</v>
      </c>
      <c r="K31" s="37" t="n">
        <v>-0.03190641879189482</v>
      </c>
      <c r="L31" s="37" t="n">
        <v>0.02800144042543029</v>
      </c>
      <c r="M31" s="37" t="n"/>
      <c r="N31" s="37" t="n">
        <v>0.01461403551364282</v>
      </c>
    </row>
    <row r="32">
      <c r="B32" s="36" t="n">
        <v>42094</v>
      </c>
      <c r="C32" s="37" t="n">
        <v>-0.01570540645294805</v>
      </c>
      <c r="D32" s="37" t="n">
        <v>0.009110094852033956</v>
      </c>
      <c r="E32" s="37" t="n">
        <v>0.001841614444175965</v>
      </c>
      <c r="F32" s="37" t="n">
        <v>0</v>
      </c>
      <c r="G32" s="37" t="n">
        <v>0.01591241348511634</v>
      </c>
      <c r="H32" s="37" t="n">
        <v>-0.005137691760248852</v>
      </c>
      <c r="I32" s="37" t="n">
        <v>-0.01570540645294805</v>
      </c>
      <c r="J32" s="37" t="n">
        <v>0.009110094852033956</v>
      </c>
      <c r="K32" s="37" t="n">
        <v>0.001841614444175965</v>
      </c>
      <c r="L32" s="37" t="n">
        <v>-0.05583933435937471</v>
      </c>
      <c r="M32" s="37" t="n"/>
      <c r="N32" s="37" t="n">
        <v>-0.003494825067770768</v>
      </c>
    </row>
    <row r="33">
      <c r="B33" s="36" t="n">
        <v>42124</v>
      </c>
      <c r="C33" s="37" t="n">
        <v>0.009833777874627803</v>
      </c>
      <c r="D33" s="37" t="n">
        <v>-0.01098844440909752</v>
      </c>
      <c r="E33" s="37" t="n">
        <v>-0.02039173828216878</v>
      </c>
      <c r="F33" s="37" t="n">
        <v>-0.0002184266429109405</v>
      </c>
      <c r="G33" s="37" t="n">
        <v>-0.07702652742299</v>
      </c>
      <c r="H33" s="37" t="n">
        <v>-0.02119395140163421</v>
      </c>
      <c r="I33" s="37" t="n">
        <v>0.009833777874627803</v>
      </c>
      <c r="J33" s="37" t="n">
        <v>-0.01098844440909752</v>
      </c>
      <c r="K33" s="37" t="n">
        <v>-0.02039173828216878</v>
      </c>
      <c r="L33" s="37" t="n">
        <v>0.06382980479562339</v>
      </c>
      <c r="M33" s="37" t="n"/>
      <c r="N33" s="37" t="n">
        <v>-0.02039879226699559</v>
      </c>
    </row>
    <row r="34">
      <c r="B34" s="36" t="n">
        <v>42155</v>
      </c>
      <c r="C34" s="37" t="n">
        <v>0.01285612956614246</v>
      </c>
      <c r="D34" s="37" t="n">
        <v>-0.005132747583905917</v>
      </c>
      <c r="E34" s="37" t="n">
        <v>-0.02855320669044614</v>
      </c>
      <c r="F34" s="37" t="n">
        <v>-0.0002193102291034865</v>
      </c>
      <c r="G34" s="37" t="n">
        <v>0.06724522209755626</v>
      </c>
      <c r="H34" s="37" t="n">
        <v>-0.0002926486799514789</v>
      </c>
      <c r="I34" s="37" t="n">
        <v>0.01285612956614246</v>
      </c>
      <c r="J34" s="37" t="n">
        <v>-0.005132747583905917</v>
      </c>
      <c r="K34" s="37" t="n">
        <v>-0.02855320669044614</v>
      </c>
      <c r="L34" s="37" t="n">
        <v>-0.0315254340737553</v>
      </c>
      <c r="M34" s="37" t="n"/>
      <c r="N34" s="37" t="n">
        <v>0.009396637965476851</v>
      </c>
    </row>
    <row r="35">
      <c r="B35" s="36" t="n">
        <v>42185</v>
      </c>
      <c r="C35" s="37" t="n">
        <v>-0.02031202570207524</v>
      </c>
      <c r="D35" s="37" t="n">
        <v>-0.01994471969686962</v>
      </c>
      <c r="E35" s="37" t="n">
        <v>-0.036807590209045</v>
      </c>
      <c r="F35" s="37" t="n">
        <v>0</v>
      </c>
      <c r="G35" s="37" t="n">
        <v>0.01143737355930286</v>
      </c>
      <c r="H35" s="37" t="n">
        <v>-0.01387191303622235</v>
      </c>
      <c r="I35" s="37" t="n">
        <v>-0.02031202570207524</v>
      </c>
      <c r="J35" s="37" t="n">
        <v>-0.01994471969686962</v>
      </c>
      <c r="K35" s="37" t="n">
        <v>-0.036807590209045</v>
      </c>
      <c r="L35" s="37" t="n">
        <v>0.01715084971481229</v>
      </c>
      <c r="M35" s="37" t="n"/>
      <c r="N35" s="37" t="n">
        <v>-0.01712942374843329</v>
      </c>
    </row>
    <row r="36">
      <c r="B36" s="36" t="n">
        <v>42216</v>
      </c>
      <c r="C36" s="37" t="n">
        <v>0.02258928959607065</v>
      </c>
      <c r="D36" s="37" t="n">
        <v>0.02497879156987537</v>
      </c>
      <c r="E36" s="37" t="n">
        <v>0.02770190032652864</v>
      </c>
      <c r="F36" s="37" t="n">
        <v>0</v>
      </c>
      <c r="G36" s="37" t="n">
        <v>-0.000498703873817242</v>
      </c>
      <c r="H36" s="37" t="n">
        <v>0.05417258800736362</v>
      </c>
      <c r="I36" s="37" t="n">
        <v>0.02258928959607065</v>
      </c>
      <c r="J36" s="37" t="n">
        <v>0.02497879156987537</v>
      </c>
      <c r="K36" s="37" t="n">
        <v>0.02770190032652864</v>
      </c>
      <c r="L36" s="37" t="n">
        <v>-0.1176875478026798</v>
      </c>
      <c r="M36" s="37" t="n"/>
      <c r="N36" s="37" t="n">
        <v>0.04289285746844484</v>
      </c>
    </row>
    <row r="37">
      <c r="B37" s="36" t="n">
        <v>42247</v>
      </c>
      <c r="C37" s="37" t="n">
        <v>-0.06095023484432072</v>
      </c>
      <c r="D37" s="37" t="n">
        <v>-0.005356596932927005</v>
      </c>
      <c r="E37" s="37" t="n">
        <v>-0.02118306188795316</v>
      </c>
      <c r="F37" s="37" t="n">
        <v>0</v>
      </c>
      <c r="G37" s="37" t="n">
        <v>-0.02953109811384316</v>
      </c>
      <c r="H37" s="37" t="n">
        <v>-0.05364626437609372</v>
      </c>
      <c r="I37" s="37" t="n">
        <v>-0.06095023484432072</v>
      </c>
      <c r="J37" s="37" t="n">
        <v>-0.005356596932927005</v>
      </c>
      <c r="K37" s="37" t="n">
        <v>-0.02118306188795316</v>
      </c>
      <c r="L37" s="37" t="n">
        <v>-0.01326053668804539</v>
      </c>
      <c r="M37" s="37" t="n"/>
      <c r="N37" s="37" t="n">
        <v>-0.05010701695364672</v>
      </c>
    </row>
    <row r="38">
      <c r="B38" s="36" t="n">
        <v>42277</v>
      </c>
      <c r="C38" s="37" t="n">
        <v>-0.02551572671712854</v>
      </c>
      <c r="D38" s="37" t="n">
        <v>0.01832449178053186</v>
      </c>
      <c r="E38" s="37" t="n">
        <v>0.01411027713550328</v>
      </c>
      <c r="F38" s="37" t="n">
        <v>-0.0004368355631803045</v>
      </c>
      <c r="G38" s="37" t="n">
        <v>-0.03166096142591798</v>
      </c>
      <c r="H38" s="37" t="n">
        <v>-0.006981714497538737</v>
      </c>
      <c r="I38" s="37" t="n">
        <v>-0.02551572671712854</v>
      </c>
      <c r="J38" s="37" t="n">
        <v>0.01832449178053186</v>
      </c>
      <c r="K38" s="37" t="n">
        <v>0.01411027713550328</v>
      </c>
      <c r="L38" s="37" t="n">
        <v>-0.03359677864637955</v>
      </c>
      <c r="M38" s="37" t="n"/>
      <c r="N38" s="37" t="n">
        <v>-0.003648706791349321</v>
      </c>
    </row>
    <row r="39">
      <c r="B39" s="36" t="n">
        <v>42308</v>
      </c>
      <c r="C39" s="37" t="n">
        <v>0.08505947764413779</v>
      </c>
      <c r="D39" s="37" t="n">
        <v>-0.007764290816935304</v>
      </c>
      <c r="E39" s="37" t="n">
        <v>0.009580096161446949</v>
      </c>
      <c r="F39" s="37" t="n">
        <v>-0.0002193496502429504</v>
      </c>
      <c r="G39" s="37" t="n">
        <v>0.07903387852832662</v>
      </c>
      <c r="H39" s="37" t="n">
        <v>0.06555362989637571</v>
      </c>
      <c r="I39" s="37" t="n">
        <v>0.08505947764413779</v>
      </c>
      <c r="J39" s="37" t="n">
        <v>-0.007764290816935304</v>
      </c>
      <c r="K39" s="37" t="n">
        <v>0.009580096161446949</v>
      </c>
      <c r="L39" s="37" t="n">
        <v>-0.007770982745555211</v>
      </c>
      <c r="M39" s="37" t="n"/>
      <c r="N39" s="37" t="n">
        <v>0.06879635772925385</v>
      </c>
    </row>
    <row r="40">
      <c r="B40" s="36" t="n">
        <v>42338</v>
      </c>
      <c r="C40" s="37" t="n">
        <v>0.003655244843787875</v>
      </c>
      <c r="D40" s="37" t="n">
        <v>-0.003971124848378249</v>
      </c>
      <c r="E40" s="37" t="n">
        <v>-0.002610192428752489</v>
      </c>
      <c r="F40" s="37" t="n">
        <v>0.0002193977750681864</v>
      </c>
      <c r="G40" s="37" t="n">
        <v>0.01372045822032566</v>
      </c>
      <c r="H40" s="37" t="n">
        <v>-0.005448230422070366</v>
      </c>
      <c r="I40" s="37" t="n">
        <v>0.003655244843787875</v>
      </c>
      <c r="J40" s="37" t="n">
        <v>-0.003971124848378249</v>
      </c>
      <c r="K40" s="37" t="n">
        <v>-0.002610192428752489</v>
      </c>
      <c r="L40" s="37" t="n">
        <v>-0.08285244063967112</v>
      </c>
      <c r="M40" s="37" t="n"/>
      <c r="N40" s="37" t="n">
        <v>0.01065640354849817</v>
      </c>
    </row>
    <row r="41">
      <c r="B41" s="36" t="n">
        <v>42369</v>
      </c>
      <c r="C41" s="37" t="n">
        <v>-0.01728286555471858</v>
      </c>
      <c r="D41" s="37" t="n">
        <v>-0.003612552295436666</v>
      </c>
      <c r="E41" s="37" t="n">
        <v>-0.01281024751475301</v>
      </c>
      <c r="F41" s="37" t="n">
        <v>-0.0002193496502429504</v>
      </c>
      <c r="G41" s="37" t="n">
        <v>-0.01796000689842818</v>
      </c>
      <c r="H41" s="37" t="n">
        <v>0.004226481465916355</v>
      </c>
      <c r="I41" s="37" t="n">
        <v>-0.01728286555471858</v>
      </c>
      <c r="J41" s="37" t="n">
        <v>-0.003612552295436666</v>
      </c>
      <c r="K41" s="37" t="n">
        <v>-0.01281024751475301</v>
      </c>
      <c r="L41" s="37" t="n">
        <v>-0.03505621063575337</v>
      </c>
      <c r="M41" s="37" t="n"/>
      <c r="N41" s="37" t="n">
        <v>-0.001572457689158813</v>
      </c>
    </row>
    <row r="42">
      <c r="B42" s="36" t="n">
        <v>42400</v>
      </c>
      <c r="C42" s="37" t="n">
        <v>-0.04978609189370442</v>
      </c>
      <c r="D42" s="37" t="n">
        <v>0.03703172296256851</v>
      </c>
      <c r="E42" s="37" t="n">
        <v>-0.004038765923742527</v>
      </c>
      <c r="F42" s="37" t="n">
        <v>0.0002193977750681864</v>
      </c>
      <c r="G42" s="37" t="n">
        <v>-0.08434439129000056</v>
      </c>
      <c r="H42" s="37" t="n">
        <v>0.009833507439978595</v>
      </c>
      <c r="I42" s="37" t="n">
        <v>-0.04978609189370442</v>
      </c>
      <c r="J42" s="37" t="n">
        <v>0.03703172296256851</v>
      </c>
      <c r="K42" s="37" t="n">
        <v>-0.004038765923742527</v>
      </c>
      <c r="L42" s="37" t="n">
        <v>-0.02142520257029201</v>
      </c>
      <c r="M42" s="37" t="n">
        <v>-0.07994919122856003</v>
      </c>
      <c r="N42" s="37" t="n">
        <v>-0.01756388620880045</v>
      </c>
    </row>
    <row r="43">
      <c r="B43" s="36" t="n">
        <v>42429</v>
      </c>
      <c r="C43" s="37" t="n">
        <v>-0.0008264848113561651</v>
      </c>
      <c r="D43" s="37" t="n">
        <v>0.01857340836674104</v>
      </c>
      <c r="E43" s="37" t="n">
        <v>0.01043722280097015</v>
      </c>
      <c r="F43" s="37" t="n">
        <v>0</v>
      </c>
      <c r="G43" s="37" t="n">
        <v>-0.01101371519719363</v>
      </c>
      <c r="H43" s="37" t="n">
        <v>0.02499258545143762</v>
      </c>
      <c r="I43" s="37" t="n">
        <v>-0.0008264848113561651</v>
      </c>
      <c r="J43" s="37" t="n">
        <v>0.01857340836674104</v>
      </c>
      <c r="K43" s="37" t="n">
        <v>0.01043722280097015</v>
      </c>
      <c r="L43" s="37" t="n">
        <v>-0.01665875191132049</v>
      </c>
      <c r="M43" s="37" t="n">
        <v>0.002988537304476235</v>
      </c>
      <c r="N43" s="37" t="n">
        <v>0.009886441950972324</v>
      </c>
    </row>
    <row r="44">
      <c r="B44" s="36" t="n">
        <v>42460</v>
      </c>
      <c r="C44" s="37" t="n">
        <v>0.06726639340621632</v>
      </c>
      <c r="D44" s="37" t="n">
        <v>0.001294883511303579</v>
      </c>
      <c r="E44" s="37" t="n">
        <v>0.06386729510140432</v>
      </c>
      <c r="F44" s="37" t="n">
        <v>0</v>
      </c>
      <c r="G44" s="37" t="n">
        <v>0.0663703004403137</v>
      </c>
      <c r="H44" s="37" t="n">
        <v>0.05487485545255105</v>
      </c>
      <c r="I44" s="37" t="n">
        <v>0.06726639340621632</v>
      </c>
      <c r="J44" s="37" t="n">
        <v>0.001294883511303579</v>
      </c>
      <c r="K44" s="37" t="n">
        <v>0.06386729510140432</v>
      </c>
      <c r="L44" s="37" t="n">
        <v>0.04065828454946052</v>
      </c>
      <c r="M44" s="37" t="n">
        <v>0.03685511945378339</v>
      </c>
      <c r="N44" s="37" t="n">
        <v>0.05991369709440297</v>
      </c>
    </row>
    <row r="45">
      <c r="B45" s="36" t="n">
        <v>42490</v>
      </c>
      <c r="C45" s="37" t="n">
        <v>0.003941146779703031</v>
      </c>
      <c r="D45" s="37" t="n">
        <v>-0.003765575641848096</v>
      </c>
      <c r="E45" s="37" t="n">
        <v>0.02322258863496196</v>
      </c>
      <c r="F45" s="37" t="n">
        <v>0.0004370264718853711</v>
      </c>
      <c r="G45" s="37" t="n">
        <v>-0.02728817528709922</v>
      </c>
      <c r="H45" s="37" t="n">
        <v>-0.0124194600090344</v>
      </c>
      <c r="I45" s="37" t="n">
        <v>0.003941146779703031</v>
      </c>
      <c r="J45" s="37" t="n">
        <v>-0.003765575641848096</v>
      </c>
      <c r="K45" s="37" t="n">
        <v>0.02322258863496196</v>
      </c>
      <c r="L45" s="37" t="n">
        <v>0.09906972840774886</v>
      </c>
      <c r="M45" s="37" t="n">
        <v>0.005349486552510774</v>
      </c>
      <c r="N45" s="37" t="n">
        <v>-0.007969534429859371</v>
      </c>
    </row>
    <row r="46">
      <c r="B46" s="36" t="n">
        <v>42521</v>
      </c>
      <c r="C46" s="37" t="n">
        <v>0.01701175337513106</v>
      </c>
      <c r="D46" s="37" t="n">
        <v>0.002910601972487381</v>
      </c>
      <c r="E46" s="37" t="n">
        <v>-0.003289801877427334</v>
      </c>
      <c r="F46" s="37" t="n">
        <v>-0.0005</v>
      </c>
      <c r="G46" s="37" t="n">
        <v>0.03793180286577379</v>
      </c>
      <c r="H46" s="37" t="n">
        <v>0.005030597201135158</v>
      </c>
      <c r="I46" s="37" t="n">
        <v>0.01701175337513106</v>
      </c>
      <c r="J46" s="37" t="n">
        <v>0.002910601972487381</v>
      </c>
      <c r="K46" s="37" t="n">
        <v>-0.003289801877427334</v>
      </c>
      <c r="L46" s="37" t="n">
        <v>-0.005924646407981293</v>
      </c>
      <c r="M46" s="37" t="n">
        <v>0.02990355592732152</v>
      </c>
      <c r="N46" s="37" t="n">
        <v>0.01678514187935676</v>
      </c>
    </row>
    <row r="47">
      <c r="B47" s="36" t="n">
        <v>42551</v>
      </c>
      <c r="C47" s="37" t="n">
        <v>0.003475750579349013</v>
      </c>
      <c r="D47" s="37" t="n">
        <v>0.04183734449048093</v>
      </c>
      <c r="E47" s="37" t="n">
        <v>0.04737208323252906</v>
      </c>
      <c r="F47" s="37" t="n">
        <v>0.175273607881883</v>
      </c>
      <c r="G47" s="37" t="n">
        <v>0.08654922875933875</v>
      </c>
      <c r="H47" s="37" t="n">
        <v>0.06930926650099893</v>
      </c>
      <c r="I47" s="37" t="n">
        <v>0.003475750579349013</v>
      </c>
      <c r="J47" s="37" t="n">
        <v>0.04183734449048093</v>
      </c>
      <c r="K47" s="37" t="n">
        <v>0.04737208323252906</v>
      </c>
      <c r="L47" s="37" t="n">
        <v>0.0527884113750734</v>
      </c>
      <c r="M47" s="37" t="n">
        <v>-0.01131355763528952</v>
      </c>
      <c r="N47" s="37" t="n">
        <v>0.05740777751462889</v>
      </c>
    </row>
    <row r="48">
      <c r="B48" s="36" t="n">
        <v>42582</v>
      </c>
      <c r="C48" s="37" t="n">
        <v>0.03647103159601039</v>
      </c>
      <c r="D48" s="37" t="n">
        <v>0.006571598846191407</v>
      </c>
      <c r="E48" s="37" t="n">
        <v>0.02550463864267782</v>
      </c>
      <c r="F48" s="37" t="n">
        <v>-6.233739219157998e-05</v>
      </c>
      <c r="G48" s="37" t="n">
        <v>0.03816305539943125</v>
      </c>
      <c r="H48" s="37" t="n">
        <v>0.006999703945998459</v>
      </c>
      <c r="I48" s="37" t="n">
        <v>0.03647103159601039</v>
      </c>
      <c r="J48" s="37" t="n">
        <v>0.006571598846191407</v>
      </c>
      <c r="K48" s="37" t="n">
        <v>0.02550463864267782</v>
      </c>
      <c r="L48" s="37" t="n">
        <v>-0.06348563380047045</v>
      </c>
      <c r="M48" s="37" t="n">
        <v>0.06113272289668492</v>
      </c>
      <c r="N48" s="37" t="n">
        <v>0.00223444819299301</v>
      </c>
    </row>
    <row r="49">
      <c r="B49" s="36" t="n">
        <v>42613</v>
      </c>
      <c r="C49" s="37" t="n">
        <v>0.001197548074975519</v>
      </c>
      <c r="D49" s="37" t="n">
        <v>-0.01119453955145167</v>
      </c>
      <c r="E49" s="37" t="n">
        <v>0.001588321969836493</v>
      </c>
      <c r="F49" s="37" t="n">
        <v>-0.0589004725731952</v>
      </c>
      <c r="G49" s="37" t="n">
        <v>-0.04428292088217037</v>
      </c>
      <c r="H49" s="37" t="n">
        <v>-0.03527707826988652</v>
      </c>
      <c r="I49" s="37" t="n">
        <v>0.001197548074975519</v>
      </c>
      <c r="J49" s="37" t="n">
        <v>-0.01119453955145167</v>
      </c>
      <c r="K49" s="37" t="n">
        <v>0.001588321969836493</v>
      </c>
      <c r="L49" s="37" t="n">
        <v>-0.0181347184395978</v>
      </c>
      <c r="M49" s="37" t="n">
        <v>-0.01703073523293153</v>
      </c>
      <c r="N49" s="37" t="n">
        <v>-0.01905833965909876</v>
      </c>
    </row>
    <row r="50">
      <c r="B50" s="36" t="n">
        <v>42643</v>
      </c>
      <c r="C50" s="37" t="n">
        <v>5.817827504550621e-05</v>
      </c>
      <c r="D50" s="37" t="n">
        <v>-0.003159098737634203</v>
      </c>
      <c r="E50" s="37" t="n">
        <v>-0.004472680692997888</v>
      </c>
      <c r="F50" s="37" t="n">
        <v>0.02708811897205954</v>
      </c>
      <c r="G50" s="37" t="n">
        <v>0.01652672268329806</v>
      </c>
      <c r="H50" s="37" t="n">
        <v>-0.003027497047068594</v>
      </c>
      <c r="I50" s="37" t="n">
        <v>5.817827504550621e-05</v>
      </c>
      <c r="J50" s="37" t="n">
        <v>-0.003159098737634203</v>
      </c>
      <c r="K50" s="37" t="n">
        <v>-0.004472680692997888</v>
      </c>
      <c r="L50" s="37" t="n">
        <v>0.03210200305997768</v>
      </c>
      <c r="M50" s="37" t="n">
        <v>0.02102979177519604</v>
      </c>
      <c r="N50" s="37" t="n">
        <v>-0.00891778791855169</v>
      </c>
    </row>
    <row r="51">
      <c r="B51" s="36" t="n">
        <v>42674</v>
      </c>
      <c r="C51" s="37" t="n">
        <v>-0.01733718858717415</v>
      </c>
      <c r="D51" s="37" t="n">
        <v>-0.02278998945595645</v>
      </c>
      <c r="E51" s="37" t="n">
        <v>-0.02488085871247137</v>
      </c>
      <c r="F51" s="37" t="n">
        <v>-0.06808249439690167</v>
      </c>
      <c r="G51" s="37" t="n">
        <v>-0.02620755818232288</v>
      </c>
      <c r="H51" s="37" t="n">
        <v>-0.01691696159967969</v>
      </c>
      <c r="I51" s="37" t="n">
        <v>-0.01733718858717415</v>
      </c>
      <c r="J51" s="37" t="n">
        <v>-0.02278998945595645</v>
      </c>
      <c r="K51" s="37" t="n">
        <v>-0.02488085871247137</v>
      </c>
      <c r="L51" s="37" t="n">
        <v>-0.002982517974952859</v>
      </c>
      <c r="M51" s="37" t="n">
        <v>-0.03294086800708784</v>
      </c>
      <c r="N51" s="37" t="n">
        <v>-0.02323862770382135</v>
      </c>
    </row>
    <row r="52">
      <c r="B52" s="36" t="n">
        <v>42704</v>
      </c>
      <c r="C52" s="37" t="n">
        <v>0.03683845406186559</v>
      </c>
      <c r="D52" s="37" t="n">
        <v>-0.05244751602417308</v>
      </c>
      <c r="E52" s="37" t="n">
        <v>-0.04895008331618322</v>
      </c>
      <c r="F52" s="37" t="n">
        <v>-0.0004372798457332738</v>
      </c>
      <c r="G52" s="37" t="n">
        <v>0.04901558374808546</v>
      </c>
      <c r="H52" s="37" t="n">
        <v>0.002619223086642674</v>
      </c>
      <c r="I52" s="37" t="n">
        <v>0.03683845406186559</v>
      </c>
      <c r="J52" s="37" t="n">
        <v>-0.05244751602417308</v>
      </c>
      <c r="K52" s="37" t="n">
        <v>-0.04895008331618322</v>
      </c>
      <c r="L52" s="37" t="n">
        <v>0.01068376085792866</v>
      </c>
      <c r="M52" s="37" t="n">
        <v>0.05132529018091669</v>
      </c>
      <c r="N52" s="37" t="n">
        <v>0.005261137797789139</v>
      </c>
    </row>
    <row r="53">
      <c r="B53" s="36" t="n">
        <v>42735</v>
      </c>
      <c r="C53" s="37" t="n">
        <v>0.02027192985081028</v>
      </c>
      <c r="D53" s="37" t="n">
        <v>-0.002982016087313744</v>
      </c>
      <c r="E53" s="37" t="n">
        <v>0.0214348471697472</v>
      </c>
      <c r="F53" s="37" t="n">
        <v>-0.000281421153270955</v>
      </c>
      <c r="G53" s="37" t="n">
        <v>0.02156909314833439</v>
      </c>
      <c r="H53" s="37" t="n">
        <v>0.04316639236599632</v>
      </c>
      <c r="I53" s="37" t="n">
        <v>0.02027192985081028</v>
      </c>
      <c r="J53" s="37" t="n">
        <v>-0.002982016087313744</v>
      </c>
      <c r="K53" s="37" t="n">
        <v>0.0214348471697472</v>
      </c>
      <c r="L53" s="37" t="n">
        <v>0.02452431006601841</v>
      </c>
      <c r="M53" s="37" t="n">
        <v>-0.01116543321319896</v>
      </c>
      <c r="N53" s="37" t="n">
        <v>0.02592407828705912</v>
      </c>
    </row>
    <row r="54">
      <c r="B54" s="36" t="n">
        <v>42766</v>
      </c>
      <c r="C54" s="37" t="n">
        <v>0.01789465089862463</v>
      </c>
      <c r="D54" s="37" t="n">
        <v>0.004589177789803056</v>
      </c>
      <c r="E54" s="37" t="n">
        <v>0.001454524437937144</v>
      </c>
      <c r="F54" s="37" t="n">
        <v>0.087461790324878</v>
      </c>
      <c r="G54" s="37" t="n">
        <v>0.03213177659740091</v>
      </c>
      <c r="H54" s="37" t="n">
        <v>-0.002546425776852412</v>
      </c>
      <c r="I54" s="37" t="n">
        <v>0.01789465089862463</v>
      </c>
      <c r="J54" s="37" t="n">
        <v>0.004589177789803056</v>
      </c>
      <c r="K54" s="37" t="n">
        <v>0.001454524437937144</v>
      </c>
      <c r="L54" s="37" t="n">
        <v>0.0004127209686655142</v>
      </c>
      <c r="M54" s="37" t="n">
        <v>0.03399414486795815</v>
      </c>
      <c r="N54" s="37" t="n">
        <v>0.007588446188189213</v>
      </c>
    </row>
    <row r="55">
      <c r="B55" s="36" t="n">
        <v>42794</v>
      </c>
      <c r="C55" s="37" t="n">
        <v>0.03929145532117162</v>
      </c>
      <c r="D55" s="37" t="n">
        <v>0.01094159336087519</v>
      </c>
      <c r="E55" s="37" t="n">
        <v>0.01816028263149883</v>
      </c>
      <c r="F55" s="37" t="n">
        <v>-0.01118619385376768</v>
      </c>
      <c r="G55" s="37" t="n">
        <v>0.01213702813479877</v>
      </c>
      <c r="H55" s="37" t="n">
        <v>0.04100572441279824</v>
      </c>
      <c r="I55" s="37" t="n">
        <v>0.03929145532117162</v>
      </c>
      <c r="J55" s="37" t="n">
        <v>0.01094159336087519</v>
      </c>
      <c r="K55" s="37" t="n">
        <v>0.01816028263149883</v>
      </c>
      <c r="L55" s="37" t="n">
        <v>0.0008251014006817048</v>
      </c>
      <c r="M55" s="37" t="n">
        <v>0.01761267309225234</v>
      </c>
      <c r="N55" s="37" t="n">
        <v>0.04352168509097121</v>
      </c>
    </row>
    <row r="56">
      <c r="B56" s="36" t="n">
        <v>42825</v>
      </c>
      <c r="C56" s="37" t="n">
        <v>0.001249917108039122</v>
      </c>
      <c r="D56" s="37" t="n">
        <v>-0.00155268166678757</v>
      </c>
      <c r="E56" s="37" t="n">
        <v>-0.006520641922645343</v>
      </c>
      <c r="F56" s="37" t="n">
        <v>-0.04383024340831987</v>
      </c>
      <c r="G56" s="37" t="n">
        <v>-0.0003687812266327729</v>
      </c>
      <c r="H56" s="37" t="n">
        <v>0.005565690894233723</v>
      </c>
      <c r="I56" s="37" t="n">
        <v>0.001249917108039122</v>
      </c>
      <c r="J56" s="37" t="n">
        <v>-0.00155268166678757</v>
      </c>
      <c r="K56" s="37" t="n">
        <v>-0.006520641922645343</v>
      </c>
      <c r="L56" s="37" t="n">
        <v>-0.03050287568576315</v>
      </c>
      <c r="M56" s="37" t="n">
        <v>-0.01573663689483829</v>
      </c>
      <c r="N56" s="37" t="n">
        <v>-0.0002736416405374476</v>
      </c>
    </row>
    <row r="57">
      <c r="B57" s="36" t="n">
        <v>42855</v>
      </c>
      <c r="C57" s="37" t="n">
        <v>0.009926385791258818</v>
      </c>
      <c r="D57" s="37" t="n">
        <v>0.01295748541178599</v>
      </c>
      <c r="E57" s="37" t="n">
        <v>0.01189924631017747</v>
      </c>
      <c r="F57" s="37" t="n">
        <v>0.0002441281566340496</v>
      </c>
      <c r="G57" s="37" t="n">
        <v>-0.01869155112821969</v>
      </c>
      <c r="H57" s="37" t="n">
        <v>0.01388245487040648</v>
      </c>
      <c r="I57" s="37" t="n">
        <v>0.009926385791258818</v>
      </c>
      <c r="J57" s="37" t="n">
        <v>0.01295748541178599</v>
      </c>
      <c r="K57" s="37" t="n">
        <v>0.01189924631017747</v>
      </c>
      <c r="L57" s="37" t="n">
        <v>-0.01870750533562948</v>
      </c>
      <c r="M57" s="37" t="n">
        <v>-0.002384580236171385</v>
      </c>
      <c r="N57" s="37" t="n">
        <v>0.01037012439730334</v>
      </c>
    </row>
    <row r="58">
      <c r="B58" s="36" t="n">
        <v>42886</v>
      </c>
      <c r="C58" s="37" t="n">
        <v>0.0141127762373725</v>
      </c>
      <c r="D58" s="37" t="n">
        <v>0.009400014111200505</v>
      </c>
      <c r="E58" s="37" t="n">
        <v>0.0246988817785887</v>
      </c>
      <c r="F58" s="37" t="n">
        <v>-0.008783987740149601</v>
      </c>
      <c r="G58" s="37" t="n">
        <v>0.001564288509894253</v>
      </c>
      <c r="H58" s="37" t="n">
        <v>0.02458825588850795</v>
      </c>
      <c r="I58" s="37" t="n">
        <v>0.0141127762373725</v>
      </c>
      <c r="J58" s="37" t="n">
        <v>0.009400014111200505</v>
      </c>
      <c r="K58" s="37" t="n">
        <v>0.0246988817785887</v>
      </c>
      <c r="L58" s="37" t="n">
        <v>-0.01733100605946802</v>
      </c>
      <c r="M58" s="37" t="n">
        <v>-0.02590157728518561</v>
      </c>
      <c r="N58" s="37" t="n">
        <v>0.02726799855629403</v>
      </c>
    </row>
    <row r="59">
      <c r="B59" s="36" t="n">
        <v>42916</v>
      </c>
      <c r="C59" s="37" t="n">
        <v>0.006375014997671347</v>
      </c>
      <c r="D59" s="37" t="n">
        <v>-0.00302626520953142</v>
      </c>
      <c r="E59" s="37" t="n">
        <v>0.01150252263468365</v>
      </c>
      <c r="F59" s="37" t="n">
        <v>0.00102878963238684</v>
      </c>
      <c r="G59" s="37" t="n">
        <v>0.008346109409475888</v>
      </c>
      <c r="H59" s="37" t="n">
        <v>0.0009249891942646915</v>
      </c>
      <c r="I59" s="37" t="n">
        <v>0.006375014997671347</v>
      </c>
      <c r="J59" s="37" t="n">
        <v>-0.00302626520953142</v>
      </c>
      <c r="K59" s="37" t="n">
        <v>0.01150252263468365</v>
      </c>
      <c r="L59" s="37" t="n">
        <v>-0.0004409271934424641</v>
      </c>
      <c r="M59" s="37" t="n">
        <v>-0.002535896002092475</v>
      </c>
      <c r="N59" s="37" t="n">
        <v>-0.003074277648089763</v>
      </c>
    </row>
    <row r="60">
      <c r="B60" s="36" t="n">
        <v>42947</v>
      </c>
      <c r="C60" s="37" t="n">
        <v>0.02055391741185453</v>
      </c>
      <c r="D60" s="37" t="n">
        <v>0.0009909725855195006</v>
      </c>
      <c r="E60" s="37" t="n">
        <v>0.007807133545214562</v>
      </c>
      <c r="F60" s="37" t="n">
        <v>0.0003280617385312823</v>
      </c>
      <c r="G60" s="37" t="n">
        <v>0.03716648367500739</v>
      </c>
      <c r="H60" s="37" t="n">
        <v>0.01733849205966878</v>
      </c>
      <c r="I60" s="37" t="n">
        <v>0.02055391741185453</v>
      </c>
      <c r="J60" s="37" t="n">
        <v>0.0009909725855195006</v>
      </c>
      <c r="K60" s="37" t="n">
        <v>0.007807133545214562</v>
      </c>
      <c r="L60" s="37" t="n">
        <v>0.02646671281210744</v>
      </c>
      <c r="M60" s="37" t="n">
        <v>0.05248282317874842</v>
      </c>
      <c r="N60" s="37" t="n">
        <v>0.01373003072355838</v>
      </c>
    </row>
    <row r="61">
      <c r="B61" s="36" t="n">
        <v>42978</v>
      </c>
      <c r="C61" s="37" t="n">
        <v>0.002917801964258615</v>
      </c>
      <c r="D61" s="37" t="n">
        <v>0.02094556024076422</v>
      </c>
      <c r="E61" s="37" t="n">
        <v>0.01166201456900828</v>
      </c>
      <c r="F61" s="37" t="n">
        <v>0.001137997773785981</v>
      </c>
      <c r="G61" s="37" t="n">
        <v>0.04030918392653988</v>
      </c>
      <c r="H61" s="37" t="n">
        <v>-0.001332096725524723</v>
      </c>
      <c r="I61" s="37" t="n">
        <v>0.002917801964258615</v>
      </c>
      <c r="J61" s="37" t="n">
        <v>0.02094556024076422</v>
      </c>
      <c r="K61" s="37" t="n">
        <v>0.01166201456900828</v>
      </c>
      <c r="L61" s="37" t="n">
        <v>0.001718908783491901</v>
      </c>
      <c r="M61" s="37" t="n">
        <v>-0.002685114295508662</v>
      </c>
      <c r="N61" s="37" t="n">
        <v>0.007603137821737826</v>
      </c>
    </row>
    <row r="62">
      <c r="B62" s="36" t="n">
        <v>43008</v>
      </c>
      <c r="C62" s="37" t="n">
        <v>0.02014932752813792</v>
      </c>
      <c r="D62" s="37" t="n">
        <v>-0.01678455213910768</v>
      </c>
      <c r="E62" s="37" t="n">
        <v>0.0001158429957286433</v>
      </c>
      <c r="F62" s="37" t="n">
        <v>0.0002219481281310891</v>
      </c>
      <c r="G62" s="37" t="n">
        <v>0.04620299636034303</v>
      </c>
      <c r="H62" s="37" t="n">
        <v>-0.0004038967492403289</v>
      </c>
      <c r="I62" s="37" t="n">
        <v>0.02014932752813792</v>
      </c>
      <c r="J62" s="37" t="n">
        <v>-0.01678455213910768</v>
      </c>
      <c r="K62" s="37" t="n">
        <v>0.0001158429957286433</v>
      </c>
      <c r="L62" s="37" t="n">
        <v>-0.002144969464010327</v>
      </c>
      <c r="M62" s="37" t="n">
        <v>0.04530759246263782</v>
      </c>
      <c r="N62" s="37" t="n">
        <v>0.007775111666320722</v>
      </c>
    </row>
    <row r="63">
      <c r="B63" s="36" t="n">
        <v>43039</v>
      </c>
      <c r="C63" s="37" t="n">
        <v>0.02356427187593169</v>
      </c>
      <c r="D63" s="37" t="n">
        <v>-0.0008959578222564879</v>
      </c>
      <c r="E63" s="37" t="n">
        <v>0.007086631392314802</v>
      </c>
      <c r="F63" s="37" t="n">
        <v>0.05013186371204448</v>
      </c>
      <c r="G63" s="37" t="n">
        <v>0.07256664990753725</v>
      </c>
      <c r="H63" s="37" t="n">
        <v>0.030280133091291</v>
      </c>
      <c r="I63" s="37" t="n">
        <v>0.02356427187593169</v>
      </c>
      <c r="J63" s="37" t="n">
        <v>-0.0008959578222564879</v>
      </c>
      <c r="K63" s="37" t="n">
        <v>0.007086631392314802</v>
      </c>
      <c r="L63" s="37" t="n">
        <v>0.02579537298218515</v>
      </c>
      <c r="M63" s="37" t="n">
        <v>0.03502843365848807</v>
      </c>
      <c r="N63" s="37" t="n">
        <v>0.01798262608914203</v>
      </c>
    </row>
    <row r="64">
      <c r="B64" s="36" t="n">
        <v>43069</v>
      </c>
      <c r="C64" s="37" t="n">
        <v>0.03056567746939098</v>
      </c>
      <c r="D64" s="37" t="n">
        <v>-0.001478773058790628</v>
      </c>
      <c r="E64" s="37" t="n">
        <v>0.001698730938939574</v>
      </c>
      <c r="F64" s="37" t="n">
        <v>-0.01206029023712563</v>
      </c>
      <c r="G64" s="37" t="n">
        <v>0.02602108155689301</v>
      </c>
      <c r="H64" s="37" t="n">
        <v>0.01828262222539462</v>
      </c>
      <c r="I64" s="37" t="n">
        <v>0.03056567746939098</v>
      </c>
      <c r="J64" s="37" t="n">
        <v>-0.001478773058790628</v>
      </c>
      <c r="K64" s="37" t="n">
        <v>0.001698730938939574</v>
      </c>
      <c r="L64" s="37" t="n">
        <v>-0.007124898237437116</v>
      </c>
      <c r="M64" s="37" t="n">
        <v>0.03697125050704408</v>
      </c>
      <c r="N64" s="37" t="n">
        <v>0.03882115664802011</v>
      </c>
    </row>
    <row r="65">
      <c r="B65" s="36" t="n">
        <v>43100</v>
      </c>
      <c r="C65" s="37" t="n">
        <v>0.01212804714893867</v>
      </c>
      <c r="D65" s="37" t="n">
        <v>0.005769216796656096</v>
      </c>
      <c r="E65" s="37" t="n">
        <v>0.02203807170475569</v>
      </c>
      <c r="F65" s="37" t="n">
        <v>0.07071056100692491</v>
      </c>
      <c r="G65" s="37" t="n">
        <v>0.007087473339038423</v>
      </c>
      <c r="H65" s="37" t="n">
        <v>-0.01050264772865247</v>
      </c>
      <c r="I65" s="37" t="n">
        <v>0.01212804714893867</v>
      </c>
      <c r="J65" s="37" t="n">
        <v>0.005769216796656096</v>
      </c>
      <c r="K65" s="37" t="n">
        <v>0.02203807170475569</v>
      </c>
      <c r="L65" s="37" t="n">
        <v>0.03039254103516775</v>
      </c>
      <c r="M65" s="37" t="n">
        <v>-0.01943779654196331</v>
      </c>
      <c r="N65" s="37" t="n">
        <v>-0.009026652506539556</v>
      </c>
    </row>
    <row r="66">
      <c r="B66" s="36" t="n">
        <v>43131</v>
      </c>
      <c r="C66" s="37" t="n">
        <v>0.05635899676747003</v>
      </c>
      <c r="D66" s="37" t="n">
        <v>-0.02602668874845837</v>
      </c>
      <c r="E66" s="37" t="n">
        <v>-0.01096608993829962</v>
      </c>
      <c r="F66" s="37" t="n">
        <v>0.0008127947796955919</v>
      </c>
      <c r="G66" s="37" t="n">
        <v>0.08459967599319872</v>
      </c>
      <c r="H66" s="37" t="n">
        <v>0.02299237721165378</v>
      </c>
      <c r="I66" s="37" t="n">
        <v>0.05635899676747003</v>
      </c>
      <c r="J66" s="37" t="n">
        <v>-0.02602668874845837</v>
      </c>
      <c r="K66" s="37" t="n">
        <v>-0.01096608993829962</v>
      </c>
      <c r="L66" s="37" t="n">
        <v>0.02498978345615321</v>
      </c>
      <c r="M66" s="37" t="n">
        <v>0.0712162385980406</v>
      </c>
      <c r="N66" s="37" t="n">
        <v>0.02440455182395151</v>
      </c>
    </row>
    <row r="67">
      <c r="B67" s="36" t="n">
        <v>43159</v>
      </c>
      <c r="C67" s="37" t="n">
        <v>-0.0363603057983567</v>
      </c>
      <c r="D67" s="37" t="n">
        <v>-0.01565136373202314</v>
      </c>
      <c r="E67" s="37" t="n">
        <v>-0.0380849228170419</v>
      </c>
      <c r="F67" s="37" t="n">
        <v>-0.02496096137829018</v>
      </c>
      <c r="G67" s="37" t="n">
        <v>-0.0427418715388716</v>
      </c>
      <c r="H67" s="37" t="n">
        <v>-0.0554250905356605</v>
      </c>
      <c r="I67" s="37" t="n">
        <v>-0.0363603057983567</v>
      </c>
      <c r="J67" s="37" t="n">
        <v>-0.01565136373202314</v>
      </c>
      <c r="K67" s="37" t="n">
        <v>-0.0380849228170419</v>
      </c>
      <c r="L67" s="37" t="n">
        <v>-0.02118308061345575</v>
      </c>
      <c r="M67" s="37" t="n">
        <v>-0.02251960320543345</v>
      </c>
      <c r="N67" s="37" t="n">
        <v>-0.04329455543964988</v>
      </c>
    </row>
    <row r="68">
      <c r="B68" s="36" t="n">
        <v>43190</v>
      </c>
      <c r="C68" s="37" t="n">
        <v>-0.02741049156840936</v>
      </c>
      <c r="D68" s="37" t="n">
        <v>0.01761646200285871</v>
      </c>
      <c r="E68" s="37" t="n">
        <v>0.009424815477475201</v>
      </c>
      <c r="F68" s="37" t="n">
        <v>0.05770535761438017</v>
      </c>
      <c r="G68" s="37" t="n">
        <v>-0.05230532790409194</v>
      </c>
      <c r="H68" s="37" t="n">
        <v>0.004614281026214685</v>
      </c>
      <c r="I68" s="37" t="n">
        <v>-0.02741049156840936</v>
      </c>
      <c r="J68" s="37" t="n">
        <v>0.01761646200285871</v>
      </c>
      <c r="K68" s="37" t="n">
        <v>0.009424815477475201</v>
      </c>
      <c r="L68" s="37" t="n">
        <v>-0.005716594159120514</v>
      </c>
      <c r="M68" s="37" t="n">
        <v>-0.00100160653655601</v>
      </c>
      <c r="N68" s="37" t="n">
        <v>0.008891691665664059</v>
      </c>
    </row>
    <row r="69">
      <c r="B69" s="36" t="n">
        <v>43220</v>
      </c>
      <c r="C69" s="37" t="n">
        <v>0.005168348442851078</v>
      </c>
      <c r="D69" s="37" t="n">
        <v>-0.01605159162894809</v>
      </c>
      <c r="E69" s="37" t="n">
        <v>-0.02470365210407721</v>
      </c>
      <c r="F69" s="37" t="n">
        <v>0.0005387470107720009</v>
      </c>
      <c r="G69" s="37" t="n">
        <v>0.008736782845140517</v>
      </c>
      <c r="H69" s="37" t="n">
        <v>-0.001804915206123226</v>
      </c>
      <c r="I69" s="37" t="n">
        <v>0.005168348442851078</v>
      </c>
      <c r="J69" s="37" t="n">
        <v>-0.01605159162894809</v>
      </c>
      <c r="K69" s="37" t="n">
        <v>-0.02470365210407721</v>
      </c>
      <c r="L69" s="37" t="n">
        <v>0.0262833420789379</v>
      </c>
      <c r="M69" s="37" t="n">
        <v>-0.02269391839479618</v>
      </c>
      <c r="N69" s="37" t="n">
        <v>-0.006100621578081999</v>
      </c>
    </row>
    <row r="70">
      <c r="B70" s="36" t="n">
        <v>43251</v>
      </c>
      <c r="C70" s="37" t="n">
        <v>0.02430920358755939</v>
      </c>
      <c r="D70" s="37" t="n">
        <v>0.01195617182668962</v>
      </c>
      <c r="E70" s="37" t="n">
        <v>0.005076414986053379</v>
      </c>
      <c r="F70" s="37" t="n">
        <v>-0.01811594177859843</v>
      </c>
      <c r="G70" s="37" t="n">
        <v>0.097516412772373</v>
      </c>
      <c r="H70" s="37" t="n">
        <v>-0.0002319620270105238</v>
      </c>
      <c r="I70" s="37" t="n">
        <v>0.02430920358755939</v>
      </c>
      <c r="J70" s="37" t="n">
        <v>0.01195617182668962</v>
      </c>
      <c r="K70" s="37" t="n">
        <v>0.005076414986053379</v>
      </c>
      <c r="L70" s="37" t="n">
        <v>0.01760706434924186</v>
      </c>
      <c r="M70" s="37" t="n">
        <v>0.07171439038740113</v>
      </c>
      <c r="N70" s="37" t="n">
        <v>0.006519790173831419</v>
      </c>
    </row>
    <row r="71">
      <c r="B71" s="36" t="n">
        <v>43281</v>
      </c>
      <c r="C71" s="37" t="n">
        <v>0.005750701594156249</v>
      </c>
      <c r="D71" s="37" t="n">
        <v>0.002709732336374504</v>
      </c>
      <c r="E71" s="37" t="n">
        <v>-0.01107831700498818</v>
      </c>
      <c r="F71" s="37" t="n">
        <v>0.1114391297141335</v>
      </c>
      <c r="G71" s="37" t="n">
        <v>0.004833246846602503</v>
      </c>
      <c r="H71" s="37" t="n">
        <v>0.02761573932517597</v>
      </c>
      <c r="I71" s="37" t="n">
        <v>0.005750701594156249</v>
      </c>
      <c r="J71" s="37" t="n">
        <v>0.002709732336374504</v>
      </c>
      <c r="K71" s="37" t="n">
        <v>-0.01107831700498818</v>
      </c>
      <c r="L71" s="37" t="n">
        <v>-0.04246952067421883</v>
      </c>
      <c r="M71" s="37" t="n">
        <v>-0.02067771044262634</v>
      </c>
      <c r="N71" s="37" t="n">
        <v>0.01448328701672219</v>
      </c>
    </row>
    <row r="72">
      <c r="B72" s="36" t="n">
        <v>43312</v>
      </c>
      <c r="C72" s="37" t="n">
        <v>0.03704630053804792</v>
      </c>
      <c r="D72" s="37" t="n">
        <v>-0.008854485202745899</v>
      </c>
      <c r="E72" s="37" t="n">
        <v>0.02171582427245045</v>
      </c>
      <c r="F72" s="37" t="n">
        <v>-0.05179287283614564</v>
      </c>
      <c r="G72" s="37" t="n">
        <v>0.03788963976341705</v>
      </c>
      <c r="H72" s="37" t="n">
        <v>0.04340261803206711</v>
      </c>
      <c r="I72" s="37" t="n">
        <v>0.03704630053804792</v>
      </c>
      <c r="J72" s="37" t="n">
        <v>-0.008854485202745899</v>
      </c>
      <c r="K72" s="37" t="n">
        <v>0.02171582427245045</v>
      </c>
      <c r="L72" s="37" t="n">
        <v>-0.02505135937557401</v>
      </c>
      <c r="M72" s="37" t="n">
        <v>0.01075266364970107</v>
      </c>
      <c r="N72" s="37" t="n">
        <v>0.03542609115650985</v>
      </c>
    </row>
    <row r="73">
      <c r="B73" s="36" t="n">
        <v>43343</v>
      </c>
      <c r="C73" s="37" t="n">
        <v>0.03191983154543632</v>
      </c>
      <c r="D73" s="37" t="n">
        <v>0.0118502284584916</v>
      </c>
      <c r="E73" s="37" t="n">
        <v>-0.003242051182272609</v>
      </c>
      <c r="F73" s="37" t="n">
        <v>0.02961206675186062</v>
      </c>
      <c r="G73" s="37" t="n">
        <v>0.069192937878041</v>
      </c>
      <c r="H73" s="37" t="n">
        <v>0.0110090169282989</v>
      </c>
      <c r="I73" s="37" t="n">
        <v>0.03191983154543632</v>
      </c>
      <c r="J73" s="37" t="n">
        <v>0.0118502284584916</v>
      </c>
      <c r="K73" s="37" t="n">
        <v>-0.003242051182272609</v>
      </c>
      <c r="L73" s="37" t="n">
        <v>-0.01979778087134987</v>
      </c>
      <c r="M73" s="37" t="n">
        <v>0.09213410074736283</v>
      </c>
      <c r="N73" s="37" t="n">
        <v>0.01769583647614015</v>
      </c>
    </row>
    <row r="74">
      <c r="B74" s="36" t="n">
        <v>43373</v>
      </c>
      <c r="C74" s="37" t="n">
        <v>0.005945627493620709</v>
      </c>
      <c r="D74" s="37" t="n">
        <v>-0.01842177620970498</v>
      </c>
      <c r="E74" s="37" t="n">
        <v>-0.002754574921911779</v>
      </c>
      <c r="F74" s="37" t="n">
        <v>0.0008995729413434077</v>
      </c>
      <c r="G74" s="37" t="n">
        <v>-0.03581262050054857</v>
      </c>
      <c r="H74" s="37" t="n">
        <v>0.01033345772661606</v>
      </c>
      <c r="I74" s="37" t="n">
        <v>0.005945627493620709</v>
      </c>
      <c r="J74" s="37" t="n">
        <v>-0.01842177620970498</v>
      </c>
      <c r="K74" s="37" t="n">
        <v>-0.002754574921911779</v>
      </c>
      <c r="L74" s="37" t="n">
        <v>0.02105714488521571</v>
      </c>
      <c r="M74" s="37" t="n">
        <v>0.003601280995896738</v>
      </c>
      <c r="N74" s="37" t="n">
        <v>-0.003598288611517009</v>
      </c>
    </row>
    <row r="75">
      <c r="B75" s="36" t="n">
        <v>43404</v>
      </c>
      <c r="C75" s="37" t="n">
        <v>-0.06910418787973283</v>
      </c>
      <c r="D75" s="37" t="n">
        <v>-0.0108249141966047</v>
      </c>
      <c r="E75" s="37" t="n">
        <v>-0.03583831174117835</v>
      </c>
      <c r="F75" s="37" t="n">
        <v>-0.1119691008301636</v>
      </c>
      <c r="G75" s="37" t="n">
        <v>-0.185711614350823</v>
      </c>
      <c r="H75" s="37" t="n">
        <v>-0.01578827716597253</v>
      </c>
      <c r="I75" s="37" t="n">
        <v>-0.06910418787973283</v>
      </c>
      <c r="J75" s="37" t="n">
        <v>-0.0108249141966047</v>
      </c>
      <c r="K75" s="37" t="n">
        <v>-0.03583831174117835</v>
      </c>
      <c r="L75" s="37" t="n">
        <v>-0.02525254106438901</v>
      </c>
      <c r="M75" s="37" t="n">
        <v>-0.1623530690491656</v>
      </c>
      <c r="N75" s="37" t="n">
        <v>-0.02915529429125074</v>
      </c>
    </row>
    <row r="76">
      <c r="B76" s="36" t="n">
        <v>43434</v>
      </c>
      <c r="C76" s="37" t="n">
        <v>0.01854913587146778</v>
      </c>
      <c r="D76" s="37" t="n">
        <v>0.01657977363473417</v>
      </c>
      <c r="E76" s="37" t="n">
        <v>-0.00821953516961571</v>
      </c>
      <c r="F76" s="37" t="n">
        <v>0.00185939486712039</v>
      </c>
      <c r="G76" s="37" t="n">
        <v>0.04655051176931008</v>
      </c>
      <c r="H76" s="37" t="n">
        <v>0.05785941828614739</v>
      </c>
      <c r="I76" s="37" t="n">
        <v>0.01854913587146778</v>
      </c>
      <c r="J76" s="37" t="n">
        <v>0.01657977363473417</v>
      </c>
      <c r="K76" s="37" t="n">
        <v>-0.00821953516961571</v>
      </c>
      <c r="L76" s="37" t="n">
        <v>-0.009067318042151107</v>
      </c>
      <c r="M76" s="37" t="n">
        <v>-0.03335677599052478</v>
      </c>
      <c r="N76" s="37" t="n">
        <v>0.04684024668958608</v>
      </c>
    </row>
    <row r="77">
      <c r="B77" s="36" t="n">
        <v>43465</v>
      </c>
      <c r="C77" s="37" t="n">
        <v>-0.08804827110390367</v>
      </c>
      <c r="D77" s="37" t="n">
        <v>0.0409263253040586</v>
      </c>
      <c r="E77" s="37" t="n">
        <v>0.02827549380506</v>
      </c>
      <c r="F77" s="37" t="n">
        <v>0.001827747725658968</v>
      </c>
      <c r="G77" s="37" t="n">
        <v>-0.1116724568699681</v>
      </c>
      <c r="H77" s="37" t="n">
        <v>-0.05857283527838313</v>
      </c>
      <c r="I77" s="37" t="n">
        <v>-0.08804827110390367</v>
      </c>
      <c r="J77" s="37" t="n">
        <v>0.0409263253040586</v>
      </c>
      <c r="K77" s="37" t="n">
        <v>0.02827549380506</v>
      </c>
      <c r="L77" s="37" t="n">
        <v>-0.07538132427335853</v>
      </c>
      <c r="M77" s="37" t="n">
        <v>-0.08306567213746829</v>
      </c>
      <c r="N77" s="37" t="n">
        <v>-0.06795501940596416</v>
      </c>
    </row>
    <row r="78">
      <c r="B78" s="36" t="n">
        <v>43496</v>
      </c>
      <c r="C78" s="37" t="n">
        <v>0.08006542404657901</v>
      </c>
      <c r="D78" s="37" t="n">
        <v>0.004418945587615797</v>
      </c>
      <c r="E78" s="37" t="n">
        <v>0.0402679721876249</v>
      </c>
      <c r="F78" s="37" t="n">
        <v>0.001749156498264792</v>
      </c>
      <c r="G78" s="37" t="n">
        <v>0.02024996544251553</v>
      </c>
      <c r="H78" s="37" t="n">
        <v>0.05276307549388409</v>
      </c>
      <c r="I78" s="37" t="n">
        <v>0.08006542404657901</v>
      </c>
      <c r="J78" s="37" t="n">
        <v>0.004418945587615797</v>
      </c>
      <c r="K78" s="37" t="n">
        <v>0.0402679721876249</v>
      </c>
      <c r="L78" s="37" t="n">
        <v>0.05702172624764401</v>
      </c>
      <c r="M78" s="37" t="n">
        <v>0.1207692798240705</v>
      </c>
      <c r="N78" s="37" t="n">
        <v>0.06657076622597136</v>
      </c>
    </row>
    <row r="79">
      <c r="B79" s="36" t="n">
        <v>43524</v>
      </c>
      <c r="C79" s="37" t="n">
        <v>0.03241582809022958</v>
      </c>
      <c r="D79" s="37" t="n">
        <v>-0.008010482607148206</v>
      </c>
      <c r="E79" s="37" t="n">
        <v>-0.004791633678053797</v>
      </c>
      <c r="F79" s="37" t="n">
        <v>0.001848610600152956</v>
      </c>
      <c r="G79" s="37" t="n">
        <v>0.04790169343263407</v>
      </c>
      <c r="H79" s="37" t="n">
        <v>0.03777066050650889</v>
      </c>
      <c r="I79" s="37" t="n">
        <v>0.03241582809022958</v>
      </c>
      <c r="J79" s="37" t="n">
        <v>-0.008010482607148206</v>
      </c>
      <c r="K79" s="37" t="n">
        <v>-0.004791633678053797</v>
      </c>
      <c r="L79" s="37" t="n">
        <v>0.01203747008872624</v>
      </c>
      <c r="M79" s="37" t="n">
        <v>0.035470344579563</v>
      </c>
      <c r="N79" s="37" t="n">
        <v>0.04021655365939814</v>
      </c>
    </row>
    <row r="80">
      <c r="B80" s="36" t="n">
        <v>43555</v>
      </c>
      <c r="C80" s="37" t="n">
        <v>0.01810038058001417</v>
      </c>
      <c r="D80" s="37" t="n">
        <v>0.03886347273694812</v>
      </c>
      <c r="E80" s="37" t="n">
        <v>0.04514984490931861</v>
      </c>
      <c r="F80" s="37" t="n">
        <v>0.001749281682919435</v>
      </c>
      <c r="G80" s="37" t="n">
        <v>0.0737126098903956</v>
      </c>
      <c r="H80" s="37" t="n">
        <v>0.02052634099908097</v>
      </c>
      <c r="I80" s="37" t="n">
        <v>0.01810038058001417</v>
      </c>
      <c r="J80" s="37" t="n">
        <v>0.03886347273694812</v>
      </c>
      <c r="K80" s="37" t="n">
        <v>0.04514984490931861</v>
      </c>
      <c r="L80" s="37" t="n">
        <v>-0.00176215480982056</v>
      </c>
      <c r="M80" s="37" t="n">
        <v>0.007069837392374767</v>
      </c>
      <c r="N80" s="37" t="n">
        <v>0.02286275180901209</v>
      </c>
    </row>
    <row r="81">
      <c r="B81" s="36" t="n">
        <v>43585</v>
      </c>
      <c r="C81" s="37" t="n">
        <v>0.0408529592613851</v>
      </c>
      <c r="D81" s="37" t="n">
        <v>-0.01184553576445468</v>
      </c>
      <c r="E81" s="37" t="n">
        <v>0.001776531067628762</v>
      </c>
      <c r="F81" s="37" t="n">
        <v>0.001925353256983175</v>
      </c>
      <c r="G81" s="37" t="n">
        <v>-0.01517530586881114</v>
      </c>
      <c r="H81" s="37" t="n">
        <v>0.02015701264061522</v>
      </c>
      <c r="I81" s="37" t="n">
        <v>0.0408529592613851</v>
      </c>
      <c r="J81" s="37" t="n">
        <v>-0.01184553576445468</v>
      </c>
      <c r="K81" s="37" t="n">
        <v>0.001776531067628762</v>
      </c>
      <c r="L81" s="37" t="n">
        <v>-0.004854395899924313</v>
      </c>
      <c r="M81" s="37" t="n">
        <v>0.03262684139750971</v>
      </c>
      <c r="N81" s="37" t="n">
        <v>0.02339212444216554</v>
      </c>
    </row>
    <row r="82">
      <c r="B82" s="36" t="n">
        <v>43616</v>
      </c>
      <c r="C82" s="37" t="n">
        <v>-0.06377152988299184</v>
      </c>
      <c r="D82" s="37" t="n">
        <v>0.04628270713631188</v>
      </c>
      <c r="E82" s="37" t="n">
        <v>0.02381284462322419</v>
      </c>
      <c r="F82" s="37" t="n">
        <v>0.002121897332564515</v>
      </c>
      <c r="G82" s="37" t="n">
        <v>-0.0354933713890869</v>
      </c>
      <c r="H82" s="37" t="n">
        <v>-0.007190396790314635</v>
      </c>
      <c r="I82" s="37" t="n">
        <v>-0.06377152988299184</v>
      </c>
      <c r="J82" s="37" t="n">
        <v>0.04628270713631188</v>
      </c>
      <c r="K82" s="37" t="n">
        <v>0.02381284462322419</v>
      </c>
      <c r="L82" s="37" t="n">
        <v>-0.043458961214762</v>
      </c>
      <c r="M82" s="37" t="n">
        <v>-0.02657078414966263</v>
      </c>
      <c r="N82" s="37" t="n">
        <v>-0.009689044469957664</v>
      </c>
    </row>
    <row r="83">
      <c r="B83" s="36" t="n">
        <v>43646</v>
      </c>
      <c r="C83" s="37" t="n">
        <v>0.06958671969437957</v>
      </c>
      <c r="D83" s="37" t="n">
        <v>0.01192098122722962</v>
      </c>
      <c r="E83" s="37" t="n">
        <v>0.04304838790935972</v>
      </c>
      <c r="F83" s="37" t="n">
        <v>0.001815654084004414</v>
      </c>
      <c r="G83" s="37" t="n">
        <v>0.06550284256163802</v>
      </c>
      <c r="H83" s="37" t="n">
        <v>0.04066655091757941</v>
      </c>
      <c r="I83" s="37" t="n">
        <v>0.06958671969437957</v>
      </c>
      <c r="J83" s="37" t="n">
        <v>0.01192098122722962</v>
      </c>
      <c r="K83" s="37" t="n">
        <v>0.04304838790935972</v>
      </c>
      <c r="L83" s="37" t="n">
        <v>0.03106166368906882</v>
      </c>
      <c r="M83" s="37" t="n">
        <v>0.05813474797340601</v>
      </c>
      <c r="N83" s="37" t="n">
        <v>0.03704021809321123</v>
      </c>
    </row>
    <row r="84">
      <c r="B84" s="36" t="n">
        <v>43677</v>
      </c>
      <c r="C84" s="37" t="n">
        <v>0.01511904014824883</v>
      </c>
      <c r="D84" s="37" t="n">
        <v>0.003059566347723974</v>
      </c>
      <c r="E84" s="37" t="n">
        <v>0.008606245842023741</v>
      </c>
      <c r="F84" s="37" t="n">
        <v>0.00130439724772441</v>
      </c>
      <c r="G84" s="37" t="n">
        <v>0.03967891443392222</v>
      </c>
      <c r="H84" s="37" t="n">
        <v>0.01730222849907617</v>
      </c>
      <c r="I84" s="37" t="n">
        <v>0.01511904014824883</v>
      </c>
      <c r="J84" s="37" t="n">
        <v>0.003059566347723974</v>
      </c>
      <c r="K84" s="37" t="n">
        <v>0.008606245842023741</v>
      </c>
      <c r="L84" s="37" t="n">
        <v>-0.01169065789377766</v>
      </c>
      <c r="M84" s="37" t="n">
        <v>0.05548303716494063</v>
      </c>
      <c r="N84" s="37" t="n">
        <v>0.01128663670802599</v>
      </c>
    </row>
    <row r="85">
      <c r="B85" s="36" t="n">
        <v>43708</v>
      </c>
      <c r="C85" s="37" t="n">
        <v>-0.01674346065460619</v>
      </c>
      <c r="D85" s="37" t="n">
        <v>0.06650766952394349</v>
      </c>
      <c r="E85" s="37" t="n">
        <v>0.05697047865363958</v>
      </c>
      <c r="F85" s="37" t="n">
        <v>0.0786231345612986</v>
      </c>
      <c r="G85" s="37" t="n">
        <v>-0.03032696491009816</v>
      </c>
      <c r="H85" s="37" t="n">
        <v>0.02477450096138631</v>
      </c>
      <c r="I85" s="37" t="n">
        <v>-0.01674346065460619</v>
      </c>
      <c r="J85" s="37" t="n">
        <v>0.06650766952394349</v>
      </c>
      <c r="K85" s="37" t="n">
        <v>0.05697047865363958</v>
      </c>
      <c r="L85" s="37" t="n">
        <v>-0.02274795315801581</v>
      </c>
      <c r="M85" s="37" t="n">
        <v>-0.01054349861862092</v>
      </c>
      <c r="N85" s="37" t="n">
        <v>0.02348537209936996</v>
      </c>
    </row>
    <row r="86">
      <c r="B86" s="36" t="n">
        <v>43738</v>
      </c>
      <c r="C86" s="37" t="n">
        <v>0.01945807843284109</v>
      </c>
      <c r="D86" s="37" t="n">
        <v>-0.01803248853927086</v>
      </c>
      <c r="E86" s="37" t="n">
        <v>-0.01076900540299153</v>
      </c>
      <c r="F86" s="37" t="n">
        <v>0.00111853126351863</v>
      </c>
      <c r="G86" s="37" t="n">
        <v>-0.04449676219594705</v>
      </c>
      <c r="H86" s="37" t="n">
        <v>0.007058670697402359</v>
      </c>
      <c r="I86" s="37" t="n">
        <v>0.01945807843284109</v>
      </c>
      <c r="J86" s="37" t="n">
        <v>-0.01803248853927086</v>
      </c>
      <c r="K86" s="37" t="n">
        <v>-0.01076900540299153</v>
      </c>
      <c r="L86" s="37" t="n">
        <v>0.01489756525343489</v>
      </c>
      <c r="M86" s="37" t="n">
        <v>-0.08329265268423935</v>
      </c>
      <c r="N86" s="37" t="n">
        <v>0.02225711646549011</v>
      </c>
    </row>
    <row r="87">
      <c r="B87" s="36" t="n">
        <v>43769</v>
      </c>
      <c r="C87" s="37" t="n">
        <v>0.02210479715171765</v>
      </c>
      <c r="D87" s="37" t="n">
        <v>-0.004891386837709955</v>
      </c>
      <c r="E87" s="37" t="n">
        <v>0.002826409009511144</v>
      </c>
      <c r="F87" s="37" t="n">
        <v>0.04372476989887025</v>
      </c>
      <c r="G87" s="37" t="n">
        <v>-0.004136641260356268</v>
      </c>
      <c r="H87" s="37" t="n">
        <v>-0.04986121661686837</v>
      </c>
      <c r="I87" s="37" t="n">
        <v>0.02210479715171765</v>
      </c>
      <c r="J87" s="37" t="n">
        <v>-0.004891386837709955</v>
      </c>
      <c r="K87" s="37" t="n">
        <v>0.002826409009511144</v>
      </c>
      <c r="L87" s="37" t="n">
        <v>0.02110096366605729</v>
      </c>
      <c r="M87" s="37" t="n">
        <v>0.01305620035221078</v>
      </c>
      <c r="N87" s="37" t="n">
        <v>-0.003898266214878654</v>
      </c>
    </row>
    <row r="88">
      <c r="B88" s="36" t="n">
        <v>43799</v>
      </c>
      <c r="C88" s="37" t="n">
        <v>0.03619815398321324</v>
      </c>
      <c r="D88" s="37" t="n">
        <v>-0.007630418842965891</v>
      </c>
      <c r="E88" s="37" t="n">
        <v>0.01021092906213728</v>
      </c>
      <c r="F88" s="37" t="n">
        <v>-0.05960165457984051</v>
      </c>
      <c r="G88" s="37" t="n">
        <v>0.01486666362058813</v>
      </c>
      <c r="H88" s="37" t="n">
        <v>-0.008182505358416371</v>
      </c>
      <c r="I88" s="37" t="n">
        <v>0.03619815398321324</v>
      </c>
      <c r="J88" s="37" t="n">
        <v>-0.007630418842965891</v>
      </c>
      <c r="K88" s="37" t="n">
        <v>0.01021092906213728</v>
      </c>
      <c r="L88" s="37" t="n">
        <v>-0.02695419475743055</v>
      </c>
      <c r="M88" s="37" t="n">
        <v>0.07653858196007413</v>
      </c>
      <c r="N88" s="37" t="n">
        <v>-4.717947539645273e-05</v>
      </c>
    </row>
    <row r="89">
      <c r="B89" s="36" t="n">
        <v>43830</v>
      </c>
      <c r="C89" s="37" t="n">
        <v>0.02905559987707251</v>
      </c>
      <c r="D89" s="37" t="n">
        <v>-0.01989049552573707</v>
      </c>
      <c r="E89" s="37" t="n">
        <v>0.001812157971275097</v>
      </c>
      <c r="F89" s="37" t="n">
        <v>0.04164874327469809</v>
      </c>
      <c r="G89" s="37" t="n">
        <v>0.01078814501702522</v>
      </c>
      <c r="H89" s="37" t="n">
        <v>0.01023562707214009</v>
      </c>
      <c r="I89" s="37" t="n">
        <v>0.02905559987707251</v>
      </c>
      <c r="J89" s="37" t="n">
        <v>-0.01989049552573707</v>
      </c>
      <c r="K89" s="37" t="n">
        <v>0.001812157971275097</v>
      </c>
      <c r="L89" s="37" t="n">
        <v>0.05447831548885107</v>
      </c>
      <c r="M89" s="37" t="n">
        <v>-0.01081104307711711</v>
      </c>
      <c r="N89" s="37" t="n">
        <v>0.01725394991647078</v>
      </c>
    </row>
    <row r="90">
      <c r="B90" s="36" t="n">
        <v>43861</v>
      </c>
      <c r="C90" s="37" t="n">
        <v>-0.0004038059280832007</v>
      </c>
      <c r="D90" s="37" t="n">
        <v>0.05744769344309075</v>
      </c>
      <c r="E90" s="37" t="n">
        <v>0.03837806492439322</v>
      </c>
      <c r="F90" s="37" t="n">
        <v>0.001203414174262063</v>
      </c>
      <c r="G90" s="37" t="n">
        <v>-0.01149100633560942</v>
      </c>
      <c r="H90" s="37" t="n">
        <v>0.04958996486733527</v>
      </c>
      <c r="I90" s="37" t="n">
        <v>-0.0004038059280832007</v>
      </c>
      <c r="J90" s="37" t="n">
        <v>0.05744769344309075</v>
      </c>
      <c r="K90" s="37" t="n">
        <v>0.03837806492439322</v>
      </c>
      <c r="L90" s="37" t="n">
        <v>-0.08581440362202497</v>
      </c>
      <c r="M90" s="37" t="n">
        <v>0.0605743546317361</v>
      </c>
      <c r="N90" s="37" t="n">
        <v>0.02992197602998226</v>
      </c>
    </row>
    <row r="91">
      <c r="B91" s="36" t="n">
        <v>43890</v>
      </c>
      <c r="C91" s="37" t="n">
        <v>-0.07916607134476428</v>
      </c>
      <c r="D91" s="37" t="n">
        <v>0.04793823377659101</v>
      </c>
      <c r="E91" s="37" t="n">
        <v>0.0135617145566671</v>
      </c>
      <c r="F91" s="37" t="n">
        <v>0.001181104720226367</v>
      </c>
      <c r="G91" s="37" t="n">
        <v>-0.06915185571811022</v>
      </c>
      <c r="H91" s="37" t="n">
        <v>-0.07790417366103433</v>
      </c>
      <c r="I91" s="37" t="n">
        <v>-0.07916607134476428</v>
      </c>
      <c r="J91" s="37" t="n">
        <v>0.04793823377659101</v>
      </c>
      <c r="K91" s="37" t="n">
        <v>0.0135617145566671</v>
      </c>
      <c r="L91" s="37" t="n">
        <v>-0.05699227368480864</v>
      </c>
      <c r="M91" s="37" t="n">
        <v>-0.06322786793361512</v>
      </c>
      <c r="N91" s="37" t="n">
        <v>-0.09514727193053896</v>
      </c>
    </row>
    <row r="92">
      <c r="B92" s="36" t="n">
        <v>43921</v>
      </c>
      <c r="C92" s="37" t="n">
        <v>-0.1248709866289429</v>
      </c>
      <c r="D92" s="37" t="n">
        <v>0.0564500290778045</v>
      </c>
      <c r="E92" s="37" t="n">
        <v>-0.08423216516361165</v>
      </c>
      <c r="F92" s="37" t="n">
        <v>0.00204485296082435</v>
      </c>
      <c r="G92" s="37" t="n">
        <v>-0.1850810192975346</v>
      </c>
      <c r="H92" s="37" t="n">
        <v>-0.1083757677675046</v>
      </c>
      <c r="I92" s="37" t="n">
        <v>-0.1248709866289429</v>
      </c>
      <c r="J92" s="37" t="n">
        <v>0.0564500290778045</v>
      </c>
      <c r="K92" s="37" t="n">
        <v>-0.08423216516361165</v>
      </c>
      <c r="L92" s="37" t="n">
        <v>-0.1604875450331393</v>
      </c>
      <c r="M92" s="37" t="n">
        <v>-0.1915979659413992</v>
      </c>
      <c r="N92" s="37" t="n">
        <v>-0.1312292585618838</v>
      </c>
    </row>
    <row r="93">
      <c r="B93" s="36" t="n">
        <v>43951</v>
      </c>
      <c r="C93" s="37" t="n">
        <v>0.1269833060635508</v>
      </c>
      <c r="D93" s="37" t="n">
        <v>0.00461219938977786</v>
      </c>
      <c r="E93" s="37" t="n">
        <v>0.0559271938631265</v>
      </c>
      <c r="F93" s="37" t="n">
        <v>-0.0001965158290764268</v>
      </c>
      <c r="G93" s="37" t="n">
        <v>0.1325146232472258</v>
      </c>
      <c r="H93" s="37" t="n">
        <v>0.06744369446800585</v>
      </c>
      <c r="I93" s="37" t="n">
        <v>0.1269833060635508</v>
      </c>
      <c r="J93" s="37" t="n">
        <v>0.00461219938977786</v>
      </c>
      <c r="K93" s="37" t="n">
        <v>0.0559271938631265</v>
      </c>
      <c r="L93" s="37" t="n">
        <v>-0.01814888880504095</v>
      </c>
      <c r="M93" s="37" t="n">
        <v>0.1843523718657922</v>
      </c>
      <c r="N93" s="37" t="n">
        <v>0.06680595986666993</v>
      </c>
    </row>
    <row r="94">
      <c r="B94" s="36" t="n">
        <v>43982</v>
      </c>
      <c r="C94" s="37" t="n">
        <v>0.04764560914137173</v>
      </c>
      <c r="D94" s="37" t="n">
        <v>-0.004316935319517379</v>
      </c>
      <c r="E94" s="37" t="n">
        <v>0.02044241372580391</v>
      </c>
      <c r="F94" s="37" t="n">
        <v>-0.0006744607391681585</v>
      </c>
      <c r="G94" s="37" t="n">
        <v>0.06230160190522986</v>
      </c>
      <c r="H94" s="37" t="n">
        <v>0.01943373787135084</v>
      </c>
      <c r="I94" s="37" t="n">
        <v>0.04764560914137173</v>
      </c>
      <c r="J94" s="37" t="n">
        <v>-0.004316935319517379</v>
      </c>
      <c r="K94" s="37" t="n">
        <v>0.02044241372580391</v>
      </c>
      <c r="L94" s="37" t="n">
        <v>0.05360448944988216</v>
      </c>
      <c r="M94" s="37" t="n">
        <v>0.1234070492849018</v>
      </c>
      <c r="N94" s="37" t="n">
        <v>0.003274196024430909</v>
      </c>
    </row>
    <row r="95">
      <c r="B95" s="36" t="n">
        <v>44012</v>
      </c>
      <c r="C95" s="37" t="n">
        <v>0.0177341693459232</v>
      </c>
      <c r="D95" s="37" t="n">
        <v>0.001795451185346186</v>
      </c>
      <c r="E95" s="37" t="n">
        <v>0.02525212961961576</v>
      </c>
      <c r="F95" s="37" t="n">
        <v>0.02737702630176453</v>
      </c>
      <c r="G95" s="37" t="n">
        <v>0.001768245789814605</v>
      </c>
      <c r="H95" s="37" t="n">
        <v>-0.006402075137488472</v>
      </c>
      <c r="I95" s="37" t="n">
        <v>0.0177341693459232</v>
      </c>
      <c r="J95" s="37" t="n">
        <v>0.001795451185346186</v>
      </c>
      <c r="K95" s="37" t="n">
        <v>0.02525212961961576</v>
      </c>
      <c r="L95" s="37" t="n">
        <v>0.02865495673609164</v>
      </c>
      <c r="M95" s="37" t="n">
        <v>0.02963299144795761</v>
      </c>
      <c r="N95" s="37" t="n">
        <v>-0.003854538086252801</v>
      </c>
    </row>
    <row r="96">
      <c r="B96" s="36" t="n">
        <v>44043</v>
      </c>
      <c r="C96" s="37" t="n">
        <v>0.05889215622742872</v>
      </c>
      <c r="D96" s="37" t="n">
        <v>0.02799603301914932</v>
      </c>
      <c r="E96" s="37" t="n">
        <v>0.0571790807096284</v>
      </c>
      <c r="F96" s="37" t="n">
        <v>0.107904630970137</v>
      </c>
      <c r="G96" s="37" t="n">
        <v>0.1159962488310661</v>
      </c>
      <c r="H96" s="37" t="n">
        <v>0.07526137484995564</v>
      </c>
      <c r="I96" s="37" t="n">
        <v>0.05889215622742872</v>
      </c>
      <c r="J96" s="37" t="n">
        <v>0.02799603301914932</v>
      </c>
      <c r="K96" s="37" t="n">
        <v>0.0571790807096284</v>
      </c>
      <c r="L96" s="37" t="n">
        <v>0.07390558418325477</v>
      </c>
      <c r="M96" s="37" t="n">
        <v>0.128527377436606</v>
      </c>
      <c r="N96" s="37" t="n">
        <v>0.07441176001104632</v>
      </c>
    </row>
    <row r="97">
      <c r="B97" s="36" t="n">
        <v>44074</v>
      </c>
      <c r="C97" s="37" t="n">
        <v>0.06979688090225</v>
      </c>
      <c r="D97" s="37" t="n">
        <v>-0.03655770656857382</v>
      </c>
      <c r="E97" s="37" t="n">
        <v>-0.03837554614043981</v>
      </c>
      <c r="F97" s="37" t="n">
        <v>-0.003735673129619476</v>
      </c>
      <c r="G97" s="37" t="n">
        <v>0.02663806816102417</v>
      </c>
      <c r="H97" s="37" t="n">
        <v>0.03886256880216239</v>
      </c>
      <c r="I97" s="37" t="n">
        <v>0.06979688090225</v>
      </c>
      <c r="J97" s="37" t="n">
        <v>-0.03655770656857382</v>
      </c>
      <c r="K97" s="37" t="n">
        <v>-0.03837554614043981</v>
      </c>
      <c r="L97" s="37" t="n">
        <v>0.07887770350774437</v>
      </c>
      <c r="M97" s="37" t="n">
        <v>0.03927467225554993</v>
      </c>
      <c r="N97" s="37" t="n">
        <v>0.02844571194572154</v>
      </c>
    </row>
    <row r="98">
      <c r="B98" s="36" t="n">
        <v>44104</v>
      </c>
      <c r="C98" s="37" t="n">
        <v>-0.03744355708052749</v>
      </c>
      <c r="D98" s="37" t="n">
        <v>0.007626461921337757</v>
      </c>
      <c r="E98" s="37" t="n">
        <v>-0.003180456184151859</v>
      </c>
      <c r="F98" s="37" t="n">
        <v>-0.1086855939221112</v>
      </c>
      <c r="G98" s="37" t="n">
        <v>-0.0491935920737834</v>
      </c>
      <c r="H98" s="37" t="n">
        <v>-0.01523467148065888</v>
      </c>
      <c r="I98" s="37" t="n">
        <v>-0.03744355708052749</v>
      </c>
      <c r="J98" s="37" t="n">
        <v>0.007626461921337757</v>
      </c>
      <c r="K98" s="37" t="n">
        <v>-0.003180456184151859</v>
      </c>
      <c r="L98" s="37" t="n">
        <v>-0.04416092520076531</v>
      </c>
      <c r="M98" s="37" t="n">
        <v>0.005895253884075968</v>
      </c>
      <c r="N98" s="37" t="n">
        <v>-0.01765418012393238</v>
      </c>
    </row>
    <row r="99">
      <c r="B99" s="36" t="n">
        <v>44135</v>
      </c>
      <c r="C99" s="37" t="n">
        <v>-0.02493369976034543</v>
      </c>
      <c r="D99" s="37" t="n">
        <v>-0.02808292258305178</v>
      </c>
      <c r="E99" s="37" t="n">
        <v>-0.008713837737500563</v>
      </c>
      <c r="F99" s="37" t="n">
        <v>0.007581410221316161</v>
      </c>
      <c r="G99" s="37" t="n">
        <v>-0.03681289059682985</v>
      </c>
      <c r="H99" s="37" t="n">
        <v>-0.01591067815413634</v>
      </c>
      <c r="I99" s="37" t="n">
        <v>-0.02493369976034543</v>
      </c>
      <c r="J99" s="37" t="n">
        <v>-0.02808292258305178</v>
      </c>
      <c r="K99" s="37" t="n">
        <v>-0.008713837737500563</v>
      </c>
      <c r="L99" s="37" t="n">
        <v>0.01899388336386587</v>
      </c>
      <c r="M99" s="37" t="n">
        <v>-0.04207182197272796</v>
      </c>
      <c r="N99" s="37" t="n">
        <v>-0.02875170249489789</v>
      </c>
    </row>
    <row r="100">
      <c r="B100" s="36" t="n">
        <v>44165</v>
      </c>
      <c r="C100" s="37" t="n">
        <v>0.1087768227415689</v>
      </c>
      <c r="D100" s="37" t="n">
        <v>0.01058735297374125</v>
      </c>
      <c r="E100" s="37" t="n">
        <v>0.06107621919291262</v>
      </c>
      <c r="F100" s="37" t="n">
        <v>0.009515146515060729</v>
      </c>
      <c r="G100" s="37" t="n">
        <v>0.1382642297541103</v>
      </c>
      <c r="H100" s="37" t="n">
        <v>0.0619858786619784</v>
      </c>
      <c r="I100" s="37" t="n">
        <v>0.1087768227415689</v>
      </c>
      <c r="J100" s="37" t="n">
        <v>0.01058735297374125</v>
      </c>
      <c r="K100" s="37" t="n">
        <v>0.06107621919291262</v>
      </c>
      <c r="L100" s="37" t="n">
        <v>0.04231738722645284</v>
      </c>
      <c r="M100" s="37" t="n">
        <v>0.1822432985892843</v>
      </c>
      <c r="N100" s="37" t="n">
        <v>0.06195701564496559</v>
      </c>
    </row>
    <row r="101">
      <c r="B101" s="36" t="n">
        <v>44196</v>
      </c>
      <c r="C101" s="37" t="n">
        <v>0.03704855050082756</v>
      </c>
      <c r="D101" s="37" t="n">
        <v>-0.01056589793078233</v>
      </c>
      <c r="E101" s="37" t="n">
        <v>-0.001891194781828753</v>
      </c>
      <c r="F101" s="37" t="n">
        <v>0.01875291232822351</v>
      </c>
      <c r="G101" s="37" t="n">
        <v>0.04046375227330022</v>
      </c>
      <c r="H101" s="37" t="n">
        <v>0.00990441099711451</v>
      </c>
      <c r="I101" s="37" t="n">
        <v>0.03704855050082756</v>
      </c>
      <c r="J101" s="37" t="n">
        <v>-0.01056589793078233</v>
      </c>
      <c r="K101" s="37" t="n">
        <v>-0.001891194781828753</v>
      </c>
      <c r="L101" s="37" t="n">
        <v>0.0584823128680394</v>
      </c>
      <c r="M101" s="37" t="n">
        <v>0.1015397723814739</v>
      </c>
      <c r="N101" s="37" t="n">
        <v>0.02039160177523147</v>
      </c>
    </row>
    <row r="102">
      <c r="B102" s="36" t="n">
        <v>44227</v>
      </c>
      <c r="C102" s="37" t="n">
        <v>-0.01019053879597176</v>
      </c>
      <c r="D102" s="37" t="n">
        <v>-0.02970719533624067</v>
      </c>
      <c r="E102" s="37" t="n">
        <v>-0.02809063135273693</v>
      </c>
      <c r="F102" s="37" t="n">
        <v>0.007783493279690024</v>
      </c>
      <c r="G102" s="37" t="n">
        <v>0.004075295649821731</v>
      </c>
      <c r="H102" s="37" t="n">
        <v>-0.03446767787585305</v>
      </c>
      <c r="I102" s="37" t="n">
        <v>-0.01019053879597176</v>
      </c>
      <c r="J102" s="37" t="n">
        <v>-0.02970719533624067</v>
      </c>
      <c r="K102" s="37" t="n">
        <v>-0.02809063135273693</v>
      </c>
      <c r="L102" s="37" t="n">
        <v>0.02876717256114314</v>
      </c>
      <c r="M102" s="37" t="n">
        <v>0.1039816522780523</v>
      </c>
      <c r="N102" s="37" t="n">
        <v>-0.01821598141133829</v>
      </c>
    </row>
    <row r="103">
      <c r="B103" s="36" t="n">
        <v>44255</v>
      </c>
      <c r="C103" s="37" t="n">
        <v>0.02780561495996414</v>
      </c>
      <c r="D103" s="37" t="n">
        <v>-0.05257383565987139</v>
      </c>
      <c r="E103" s="37" t="n">
        <v>-0.0335464239524198</v>
      </c>
      <c r="F103" s="37" t="n">
        <v>0.06619518232364557</v>
      </c>
      <c r="G103" s="37" t="n">
        <v>0.04769050064205999</v>
      </c>
      <c r="H103" s="37" t="n">
        <v>-0.001437767949383529</v>
      </c>
      <c r="I103" s="37" t="n">
        <v>0.02780561495996414</v>
      </c>
      <c r="J103" s="37" t="n">
        <v>-0.05257383565987139</v>
      </c>
      <c r="K103" s="37" t="n">
        <v>-0.0335464239524198</v>
      </c>
      <c r="L103" s="37" t="n">
        <v>0.07678648422153733</v>
      </c>
      <c r="M103" s="37" t="n">
        <v>-0.01868192075680841</v>
      </c>
      <c r="N103" s="37" t="n">
        <v>-0.01164907938684012</v>
      </c>
    </row>
    <row r="104">
      <c r="B104" s="36" t="n">
        <v>44286</v>
      </c>
      <c r="C104" s="37" t="n">
        <v>0.04539899692465466</v>
      </c>
      <c r="D104" s="37" t="n">
        <v>-0.04050012250477408</v>
      </c>
      <c r="E104" s="37" t="n">
        <v>-0.0246786125854952</v>
      </c>
      <c r="F104" s="37" t="n">
        <v>-0.0498021958042319</v>
      </c>
      <c r="G104" s="37" t="n">
        <v>-0.008768715148714771</v>
      </c>
      <c r="H104" s="37" t="n">
        <v>0.07248625736135454</v>
      </c>
      <c r="I104" s="37" t="n">
        <v>0.04539899692465466</v>
      </c>
      <c r="J104" s="37" t="n">
        <v>-0.04050012250477408</v>
      </c>
      <c r="K104" s="37" t="n">
        <v>-0.0246786125854952</v>
      </c>
      <c r="L104" s="37" t="n">
        <v>-0.02473208474068445</v>
      </c>
      <c r="M104" s="37" t="n">
        <v>-0.07897054301867845</v>
      </c>
      <c r="N104" s="37" t="n">
        <v>0.07030785011659768</v>
      </c>
    </row>
    <row r="105">
      <c r="B105" s="36" t="n">
        <v>44316</v>
      </c>
      <c r="C105" s="37" t="n">
        <v>0.05291058033070795</v>
      </c>
      <c r="D105" s="37" t="n">
        <v>0.01919931278192855</v>
      </c>
      <c r="E105" s="37" t="n">
        <v>0.01643019681953795</v>
      </c>
      <c r="F105" s="37" t="n">
        <v>0.0996606434159773</v>
      </c>
      <c r="G105" s="37" t="n">
        <v>0.03603709344118107</v>
      </c>
      <c r="H105" s="37" t="n">
        <v>0.01312360519938003</v>
      </c>
      <c r="I105" s="37" t="n">
        <v>0.05291058033070795</v>
      </c>
      <c r="J105" s="37" t="n">
        <v>0.01919931278192855</v>
      </c>
      <c r="K105" s="37" t="n">
        <v>0.01643019681953795</v>
      </c>
      <c r="L105" s="37" t="n">
        <v>0.09763311415215603</v>
      </c>
      <c r="M105" s="37" t="n">
        <v>0.02258377925658928</v>
      </c>
      <c r="N105" s="37" t="n">
        <v>0.04077731714866073</v>
      </c>
    </row>
    <row r="106">
      <c r="B106" s="36" t="n">
        <v>44347</v>
      </c>
      <c r="C106" s="37" t="n">
        <v>0.00656605549801359</v>
      </c>
      <c r="D106" s="37" t="n">
        <v>0.0005828098341478238</v>
      </c>
      <c r="E106" s="37" t="n">
        <v>0.007092233278865434</v>
      </c>
      <c r="F106" s="37" t="n">
        <v>0.05110147261497981</v>
      </c>
      <c r="G106" s="37" t="n">
        <v>0.03894438016271153</v>
      </c>
      <c r="H106" s="37" t="n">
        <v>0.03071902812597924</v>
      </c>
      <c r="I106" s="37" t="n">
        <v>0.00656605549801359</v>
      </c>
      <c r="J106" s="37" t="n">
        <v>0.0005828098341478238</v>
      </c>
      <c r="K106" s="37" t="n">
        <v>0.007092233278865434</v>
      </c>
      <c r="L106" s="37" t="n">
        <v>0.03080481962114656</v>
      </c>
      <c r="M106" s="37" t="n">
        <v>-0.06026577753492401</v>
      </c>
      <c r="N106" s="37" t="n">
        <v>0.01124700939405221</v>
      </c>
    </row>
    <row r="107">
      <c r="B107" s="36" t="n">
        <v>44377</v>
      </c>
      <c r="C107" s="37" t="n">
        <v>0.02242737354966251</v>
      </c>
      <c r="D107" s="37" t="n">
        <v>0.03184386387665006</v>
      </c>
      <c r="E107" s="37" t="n">
        <v>0.04014103054407636</v>
      </c>
      <c r="F107" s="37" t="n">
        <v>0.002927265862698547</v>
      </c>
      <c r="G107" s="37" t="n">
        <v>-0.05245291733199556</v>
      </c>
      <c r="H107" s="37" t="n">
        <v>-0.007999863718438804</v>
      </c>
      <c r="I107" s="37" t="n">
        <v>0.02242737354966251</v>
      </c>
      <c r="J107" s="37" t="n">
        <v>0.03184386387665006</v>
      </c>
      <c r="K107" s="37" t="n">
        <v>0.04014103054407636</v>
      </c>
      <c r="L107" s="37" t="n">
        <v>0.01606276794257866</v>
      </c>
      <c r="M107" s="37" t="n">
        <v>0.02286400615098638</v>
      </c>
      <c r="N107" s="37" t="n">
        <v>-0.0007633389428873816</v>
      </c>
    </row>
    <row r="108">
      <c r="B108" s="36" t="n">
        <v>44408</v>
      </c>
      <c r="C108" s="37" t="n">
        <v>0.02441235367004535</v>
      </c>
      <c r="D108" s="37" t="n">
        <v>0.0333124388602184</v>
      </c>
      <c r="E108" s="37" t="n">
        <v>0.02197492951599256</v>
      </c>
      <c r="F108" s="37" t="n">
        <v>0.008798507358788343</v>
      </c>
      <c r="G108" s="37" t="n">
        <v>-0.02831862481293939</v>
      </c>
      <c r="H108" s="37" t="n">
        <v>0.03678957702620372</v>
      </c>
      <c r="I108" s="37" t="n">
        <v>0.02441235367004535</v>
      </c>
      <c r="J108" s="37" t="n">
        <v>0.0333124388602184</v>
      </c>
      <c r="K108" s="37" t="n">
        <v>0.02197492951599256</v>
      </c>
      <c r="L108" s="37" t="n">
        <v>0.02352938866532872</v>
      </c>
      <c r="M108" s="37" t="n">
        <v>-0.05004093716702374</v>
      </c>
      <c r="N108" s="37" t="n">
        <v>0.03668622515960007</v>
      </c>
    </row>
    <row r="109">
      <c r="B109" s="36" t="n">
        <v>44439</v>
      </c>
      <c r="C109" s="37" t="n">
        <v>0.02976016910457902</v>
      </c>
      <c r="D109" s="37" t="n">
        <v>-0.002139014717140175</v>
      </c>
      <c r="E109" s="37" t="n">
        <v>-0.004166376936680649</v>
      </c>
      <c r="F109" s="37" t="n">
        <v>-0.01760527717002117</v>
      </c>
      <c r="G109" s="37" t="n">
        <v>0.01702650421419786</v>
      </c>
      <c r="H109" s="37" t="n">
        <v>0.01069764502734553</v>
      </c>
      <c r="I109" s="37" t="n">
        <v>0.02976016910457902</v>
      </c>
      <c r="J109" s="37" t="n">
        <v>-0.002139014717140175</v>
      </c>
      <c r="K109" s="37" t="n">
        <v>-0.004166376936680649</v>
      </c>
      <c r="L109" s="37" t="n">
        <v>-0.00862068138659311</v>
      </c>
      <c r="M109" s="37" t="n">
        <v>0.0404812481238308</v>
      </c>
      <c r="N109" s="37" t="n">
        <v>0.01786549830831907</v>
      </c>
    </row>
    <row r="110">
      <c r="B110" s="36" t="n">
        <v>44469</v>
      </c>
      <c r="C110" s="37" t="n">
        <v>-0.04660554935261796</v>
      </c>
      <c r="D110" s="37" t="n">
        <v>-0.02556177247435554</v>
      </c>
      <c r="E110" s="37" t="n">
        <v>-0.02247042287993151</v>
      </c>
      <c r="F110" s="37" t="n">
        <v>0.09408826751921917</v>
      </c>
      <c r="G110" s="37" t="n">
        <v>-0.01937421265656007</v>
      </c>
      <c r="H110" s="37" t="n">
        <v>-0.02899637120482631</v>
      </c>
      <c r="I110" s="37" t="n">
        <v>-0.04660554935261796</v>
      </c>
      <c r="J110" s="37" t="n">
        <v>-0.02556177247435554</v>
      </c>
      <c r="K110" s="37" t="n">
        <v>-0.02247042287993151</v>
      </c>
      <c r="L110" s="37" t="n">
        <v>0.05978259404800812</v>
      </c>
      <c r="M110" s="37" t="n">
        <v>-0.029273254090877</v>
      </c>
      <c r="N110" s="37" t="n">
        <v>-0.05085820883904324</v>
      </c>
    </row>
    <row r="111">
      <c r="B111" s="36" t="n">
        <v>44500</v>
      </c>
      <c r="C111" s="37" t="n">
        <v>0.07016354038498007</v>
      </c>
      <c r="D111" s="37" t="n">
        <v>0.006461277700769319</v>
      </c>
      <c r="E111" s="37" t="n">
        <v>0.01734959105173162</v>
      </c>
      <c r="F111" s="37" t="n">
        <v>0.08732876774467435</v>
      </c>
      <c r="G111" s="37" t="n">
        <v>0.06723024532016118</v>
      </c>
      <c r="H111" s="37" t="n">
        <v>0.03764906578819994</v>
      </c>
      <c r="I111" s="37" t="n">
        <v>0.07016354038498007</v>
      </c>
      <c r="J111" s="37" t="n">
        <v>0.006461277700769319</v>
      </c>
      <c r="K111" s="37" t="n">
        <v>0.01734959105173162</v>
      </c>
      <c r="L111" s="37" t="n">
        <v>0.0335042578542335</v>
      </c>
      <c r="M111" s="37" t="n">
        <v>0.06463475628283466</v>
      </c>
      <c r="N111" s="37" t="n">
        <v>0.046898511925348</v>
      </c>
    </row>
    <row r="112">
      <c r="B112" s="36" t="n">
        <v>44530</v>
      </c>
      <c r="C112" s="37" t="n">
        <v>-0.008034916411653215</v>
      </c>
      <c r="D112" s="37" t="n">
        <v>0.02166497740896056</v>
      </c>
      <c r="E112" s="37" t="n">
        <v>0.003621762350935365</v>
      </c>
      <c r="F112" s="37" t="n">
        <v>-0.1616798150789672</v>
      </c>
      <c r="G112" s="37" t="n">
        <v>-0.01662514956485694</v>
      </c>
      <c r="H112" s="37" t="n">
        <v>-0.03267860266256702</v>
      </c>
      <c r="I112" s="37" t="n">
        <v>-0.008034916411653215</v>
      </c>
      <c r="J112" s="37" t="n">
        <v>0.02166497740896056</v>
      </c>
      <c r="K112" s="37" t="n">
        <v>0.003621762350935365</v>
      </c>
      <c r="L112" s="37" t="n">
        <v>-0.08666883796092006</v>
      </c>
      <c r="M112" s="37" t="n">
        <v>-0.0304221529069536</v>
      </c>
      <c r="N112" s="37" t="n">
        <v>-0.01346654671275482</v>
      </c>
    </row>
    <row r="113">
      <c r="B113" s="36" t="n">
        <v>44561</v>
      </c>
      <c r="C113" s="37" t="n">
        <v>0.0462478641345212</v>
      </c>
      <c r="D113" s="37" t="n">
        <v>-0.01324219503440227</v>
      </c>
      <c r="E113" s="37" t="n">
        <v>-0.008167520216629698</v>
      </c>
      <c r="F113" s="37" t="n">
        <v>0.1341274427777494</v>
      </c>
      <c r="G113" s="37" t="n">
        <v>-0.02215106456670534</v>
      </c>
      <c r="H113" s="37" t="n">
        <v>0.08096742749602967</v>
      </c>
      <c r="I113" s="37" t="n">
        <v>0.0462478641345212</v>
      </c>
      <c r="J113" s="37" t="n">
        <v>-0.01324219503440227</v>
      </c>
      <c r="K113" s="37" t="n">
        <v>-0.008167520216629698</v>
      </c>
      <c r="L113" s="37" t="n">
        <v>0.03947845449084242</v>
      </c>
      <c r="M113" s="37" t="n">
        <v>-0.01233168526441863</v>
      </c>
      <c r="N113" s="37" t="n">
        <v>0.09711539579220485</v>
      </c>
    </row>
    <row r="114">
      <c r="B114" s="36" t="n">
        <v>44592</v>
      </c>
      <c r="C114" s="37" t="n">
        <v>-0.05274131684383154</v>
      </c>
      <c r="D114" s="37" t="n">
        <v>-0.03254693038011169</v>
      </c>
      <c r="E114" s="37" t="n">
        <v>-0.05017029024467634</v>
      </c>
      <c r="F114" s="37" t="n">
        <v>0</v>
      </c>
      <c r="G114" s="37" t="n">
        <v>-0.08436038964062142</v>
      </c>
      <c r="H114" s="37" t="n">
        <v>-0.01208196110384923</v>
      </c>
      <c r="I114" s="37" t="n">
        <v>-0.05274131684383154</v>
      </c>
      <c r="J114" s="37" t="n">
        <v>-0.03254693038011169</v>
      </c>
      <c r="K114" s="37" t="n">
        <v>-0.05017029024467634</v>
      </c>
      <c r="L114" s="37" t="n">
        <v>0.1017421602324333</v>
      </c>
      <c r="M114" s="37" t="n">
        <v>-0.06437334461915434</v>
      </c>
      <c r="N114" s="37" t="n">
        <v>-0.04625432768669224</v>
      </c>
    </row>
    <row r="115">
      <c r="B115" s="36" t="n">
        <v>44620</v>
      </c>
      <c r="C115" s="37" t="n">
        <v>-0.02951712778610693</v>
      </c>
      <c r="D115" s="37" t="n">
        <v>-0.009589882707977226</v>
      </c>
      <c r="E115" s="37" t="n">
        <v>-0.03136341982563484</v>
      </c>
      <c r="F115" s="37" t="n">
        <v>-0.0007191176404646722</v>
      </c>
      <c r="G115" s="37" t="n">
        <v>0.0115900346713811</v>
      </c>
      <c r="H115" s="37" t="n">
        <v>-0.02626528666431082</v>
      </c>
      <c r="I115" s="37" t="n">
        <v>-0.02951712778610693</v>
      </c>
      <c r="J115" s="37" t="n">
        <v>-0.009589882707977226</v>
      </c>
      <c r="K115" s="37" t="n">
        <v>-0.03136341982563484</v>
      </c>
      <c r="L115" s="37" t="n">
        <v>0.0733712120777994</v>
      </c>
      <c r="M115" s="37" t="n">
        <v>0.01092748044034231</v>
      </c>
      <c r="N115" s="37" t="n">
        <v>-0.02295502051379961</v>
      </c>
    </row>
    <row r="116">
      <c r="B116" s="36" t="n">
        <v>44651</v>
      </c>
      <c r="C116" s="37" t="n">
        <v>0.03759068918207209</v>
      </c>
      <c r="D116" s="37" t="n">
        <v>-0.05076524862731102</v>
      </c>
      <c r="E116" s="37" t="n">
        <v>-0.03289405826694547</v>
      </c>
      <c r="F116" s="37" t="n">
        <v>0.0978995118454033</v>
      </c>
      <c r="G116" s="37" t="n">
        <v>0.03992817017967135</v>
      </c>
      <c r="H116" s="37" t="n">
        <v>0.04720643800986061</v>
      </c>
      <c r="I116" s="37" t="n">
        <v>0.03759068918207209</v>
      </c>
      <c r="J116" s="37" t="n">
        <v>-0.05076524862731102</v>
      </c>
      <c r="K116" s="37" t="n">
        <v>-0.03289405826694547</v>
      </c>
      <c r="L116" s="37" t="n">
        <v>0.08750740544714963</v>
      </c>
      <c r="M116" s="37" t="n">
        <v>0.04110913169452424</v>
      </c>
      <c r="N116" s="37" t="n">
        <v>0.05435502991905383</v>
      </c>
    </row>
    <row r="117">
      <c r="B117" s="36" t="n">
        <v>44681</v>
      </c>
      <c r="C117" s="37" t="n">
        <v>-0.08776902005499188</v>
      </c>
      <c r="D117" s="37" t="n">
        <v>-0.07797840527461664</v>
      </c>
      <c r="E117" s="37" t="n">
        <v>-0.09969720744354815</v>
      </c>
      <c r="F117" s="37" t="n">
        <v>0.02434916658699154</v>
      </c>
      <c r="G117" s="37" t="n">
        <v>-0.03379542069952571</v>
      </c>
      <c r="H117" s="37" t="n">
        <v>-0.01539106207118158</v>
      </c>
      <c r="I117" s="37" t="n">
        <v>-0.08776902005499188</v>
      </c>
      <c r="J117" s="37" t="n">
        <v>-0.07797840527461664</v>
      </c>
      <c r="K117" s="37" t="n">
        <v>-0.09969720744354815</v>
      </c>
      <c r="L117" s="37" t="n">
        <v>0.04578701256286966</v>
      </c>
      <c r="M117" s="37" t="n">
        <v>-0.05784267525408049</v>
      </c>
      <c r="N117" s="37" t="n">
        <v>-0.02434895199030529</v>
      </c>
    </row>
    <row r="118">
      <c r="B118" s="36" t="n">
        <v>44712</v>
      </c>
      <c r="C118" s="37" t="n">
        <v>0.002256977253021875</v>
      </c>
      <c r="D118" s="37" t="n">
        <v>-0.01291707038225431</v>
      </c>
      <c r="E118" s="37" t="n">
        <v>0.01820501543409492</v>
      </c>
      <c r="F118" s="37" t="n">
        <v>0.01282758901861455</v>
      </c>
      <c r="G118" s="37" t="n">
        <v>0.0414448412642746</v>
      </c>
      <c r="H118" s="37" t="n">
        <v>0.01659562766026707</v>
      </c>
      <c r="I118" s="37" t="n">
        <v>0.002256977253021875</v>
      </c>
      <c r="J118" s="37" t="n">
        <v>-0.01291707038225431</v>
      </c>
      <c r="K118" s="37" t="n">
        <v>0.01820501543409492</v>
      </c>
      <c r="L118" s="37" t="n">
        <v>0.02227980943906371</v>
      </c>
      <c r="M118" s="37" t="n">
        <v>0.03718431343070061</v>
      </c>
      <c r="N118" s="37" t="n">
        <v>-0.005262077984552249</v>
      </c>
    </row>
    <row r="119">
      <c r="B119" s="36" t="n">
        <v>44742</v>
      </c>
      <c r="C119" s="37" t="n">
        <v>-0.0824605045343666</v>
      </c>
      <c r="D119" s="37" t="n">
        <v>-0.01425138020373917</v>
      </c>
      <c r="E119" s="37" t="n">
        <v>-0.04641553766266415</v>
      </c>
      <c r="F119" s="37" t="n">
        <v>-0.06655960399846506</v>
      </c>
      <c r="G119" s="37" t="n">
        <v>-0.1147459120343793</v>
      </c>
      <c r="H119" s="37" t="n">
        <v>-0.02615179698862895</v>
      </c>
      <c r="I119" s="37" t="n">
        <v>-0.0824605045343666</v>
      </c>
      <c r="J119" s="37" t="n">
        <v>-0.01425138020373917</v>
      </c>
      <c r="K119" s="37" t="n">
        <v>-0.04641553766266415</v>
      </c>
      <c r="L119" s="37" t="n">
        <v>-0.1180942715542485</v>
      </c>
      <c r="M119" s="37" t="n">
        <v>-0.1196694053329246</v>
      </c>
      <c r="N119" s="37" t="n">
        <v>-0.04268908275255634</v>
      </c>
    </row>
    <row r="120">
      <c r="B120" s="36" t="n">
        <v>44773</v>
      </c>
      <c r="C120" s="37" t="n">
        <v>0.09208768998042149</v>
      </c>
      <c r="D120" s="37" t="n">
        <v>0.0295567472575049</v>
      </c>
      <c r="E120" s="37" t="n">
        <v>0.0545781172157036</v>
      </c>
      <c r="F120" s="37" t="n">
        <v>-0.01947374703494464</v>
      </c>
      <c r="G120" s="37" t="n">
        <v>0.06699397418713041</v>
      </c>
      <c r="H120" s="37" t="n">
        <v>0.02296538216503725</v>
      </c>
      <c r="I120" s="37" t="n">
        <v>0.09208768998042149</v>
      </c>
      <c r="J120" s="37" t="n">
        <v>0.0295567472575049</v>
      </c>
      <c r="K120" s="37" t="n">
        <v>0.0545781172157036</v>
      </c>
      <c r="L120" s="37" t="n">
        <v>0.04080465559695567</v>
      </c>
      <c r="M120" s="37" t="n">
        <v>0.09504752226083713</v>
      </c>
      <c r="N120" s="37" t="n">
        <v>0.04238979160289724</v>
      </c>
    </row>
    <row r="121">
      <c r="B121" s="36" t="n">
        <v>44804</v>
      </c>
      <c r="C121" s="37" t="n">
        <v>-0.04080192582726849</v>
      </c>
      <c r="D121" s="37" t="n">
        <v>-0.04555940717774265</v>
      </c>
      <c r="E121" s="37" t="n">
        <v>-0.0547030056815726</v>
      </c>
      <c r="F121" s="37" t="n">
        <v>-0.06379278985588704</v>
      </c>
      <c r="G121" s="37" t="n">
        <v>0.02352522865888602</v>
      </c>
      <c r="H121" s="37" t="n">
        <v>-0.03989566722110782</v>
      </c>
      <c r="I121" s="37" t="n">
        <v>-0.04080192582726849</v>
      </c>
      <c r="J121" s="37" t="n">
        <v>-0.04555940717774265</v>
      </c>
      <c r="K121" s="37" t="n">
        <v>-0.0547030056815726</v>
      </c>
      <c r="L121" s="37" t="n">
        <v>-0.001656581205654928</v>
      </c>
      <c r="M121" s="37" t="n">
        <v>0.02964868884589711</v>
      </c>
      <c r="N121" s="37" t="n">
        <v>-0.01863102488989743</v>
      </c>
    </row>
    <row r="122">
      <c r="B122" s="36" t="n">
        <v>44834</v>
      </c>
      <c r="C122" s="37" t="n">
        <v>-0.09244600260760782</v>
      </c>
      <c r="D122" s="37" t="n">
        <v>-0.07135916017629929</v>
      </c>
      <c r="E122" s="37" t="n">
        <v>-0.08490001787750101</v>
      </c>
      <c r="F122" s="37" t="n">
        <v>0.002067178792943825</v>
      </c>
      <c r="G122" s="37" t="n">
        <v>-0.06530124111692974</v>
      </c>
      <c r="H122" s="37" t="n">
        <v>-0.06768803025391769</v>
      </c>
      <c r="I122" s="37" t="n">
        <v>-0.09244600260760782</v>
      </c>
      <c r="J122" s="37" t="n">
        <v>-0.07135916017629929</v>
      </c>
      <c r="K122" s="37" t="n">
        <v>-0.08490001787750101</v>
      </c>
      <c r="L122" s="37" t="n">
        <v>-0.08987831896333909</v>
      </c>
      <c r="M122" s="37" t="n">
        <v>-0.07828887550691432</v>
      </c>
      <c r="N122" s="37" t="n">
        <v>-0.08329871233639019</v>
      </c>
    </row>
    <row r="123">
      <c r="B123" s="36" t="n">
        <v>44865</v>
      </c>
      <c r="C123" s="37" t="n">
        <v>0.08127572746039502</v>
      </c>
      <c r="D123" s="37" t="n">
        <v>-0.04069874235667148</v>
      </c>
      <c r="E123" s="37" t="n">
        <v>-0.02050568568282474</v>
      </c>
      <c r="F123" s="37" t="n">
        <v>0.00158570626948995</v>
      </c>
      <c r="G123" s="37" t="n">
        <v>0.1334048699044603</v>
      </c>
      <c r="H123" s="37" t="n">
        <v>0.07819104330592294</v>
      </c>
      <c r="I123" s="37" t="n">
        <v>0.08127572746039502</v>
      </c>
      <c r="J123" s="37" t="n">
        <v>-0.04069874235667148</v>
      </c>
      <c r="K123" s="37" t="n">
        <v>-0.02050568568282474</v>
      </c>
      <c r="L123" s="37" t="n">
        <v>0.0185354182066193</v>
      </c>
      <c r="M123" s="37" t="n">
        <v>0.1572452976765946</v>
      </c>
      <c r="N123" s="37" t="n">
        <v>0.06970348795204817</v>
      </c>
    </row>
    <row r="124">
      <c r="B124" s="36" t="n">
        <v>44895</v>
      </c>
      <c r="C124" s="37" t="n">
        <v>0.05559133652290349</v>
      </c>
      <c r="D124" s="37" t="n">
        <v>0.06491225057379091</v>
      </c>
      <c r="E124" s="37" t="n">
        <v>0.09915241801384411</v>
      </c>
      <c r="F124" s="37" t="n">
        <v>0.003151255100397377</v>
      </c>
      <c r="G124" s="37" t="n">
        <v>0.01243804784632207</v>
      </c>
      <c r="H124" s="37" t="n">
        <v>0.04926878249288692</v>
      </c>
      <c r="I124" s="37" t="n">
        <v>0.05559133652290349</v>
      </c>
      <c r="J124" s="37" t="n">
        <v>0.06491225057379091</v>
      </c>
      <c r="K124" s="37" t="n">
        <v>0.09915241801384411</v>
      </c>
      <c r="L124" s="37" t="n">
        <v>0.03997613765776453</v>
      </c>
      <c r="M124" s="37" t="n">
        <v>-0.008274852469793759</v>
      </c>
      <c r="N124" s="37" t="n">
        <v>0.05684931599001164</v>
      </c>
    </row>
    <row r="125">
      <c r="B125" s="36" t="n">
        <v>44926</v>
      </c>
      <c r="C125" s="37" t="n">
        <v>-0.05762824715362858</v>
      </c>
      <c r="D125" s="37" t="n">
        <v>-0.01718701331770389</v>
      </c>
      <c r="E125" s="37" t="n">
        <v>-0.0247960401251579</v>
      </c>
      <c r="F125" s="37" t="n">
        <v>0.003626371057908084</v>
      </c>
      <c r="G125" s="37" t="n">
        <v>-0.03518296634086686</v>
      </c>
      <c r="H125" s="37" t="n">
        <v>-0.01982697343719525</v>
      </c>
      <c r="I125" s="37" t="n">
        <v>-0.05762824715362858</v>
      </c>
      <c r="J125" s="37" t="n">
        <v>-0.01718701331770389</v>
      </c>
      <c r="K125" s="37" t="n">
        <v>-0.0247960401251579</v>
      </c>
      <c r="L125" s="37" t="n">
        <v>-0.03298914244819084</v>
      </c>
      <c r="M125" s="37" t="n">
        <v>-0.07946388111181102</v>
      </c>
      <c r="N125" s="37" t="n">
        <v>-0.01709260531950862</v>
      </c>
    </row>
    <row r="126">
      <c r="B126" s="36" t="n">
        <v>44957</v>
      </c>
      <c r="C126" s="37" t="n">
        <v>0.06288756370288562</v>
      </c>
      <c r="D126" s="37" t="n">
        <v>0.06202629637602786</v>
      </c>
      <c r="E126" s="37" t="n">
        <v>0.07687242193802368</v>
      </c>
      <c r="F126" s="37" t="n">
        <v>0.002842386401825436</v>
      </c>
      <c r="G126" s="37" t="n">
        <v>0.02037477465759434</v>
      </c>
      <c r="H126" s="37" t="n">
        <v>-0.01232791411032162</v>
      </c>
      <c r="I126" s="37" t="n">
        <v>0.06288756370288562</v>
      </c>
      <c r="J126" s="37" t="n">
        <v>0.06202629637602786</v>
      </c>
      <c r="K126" s="37" t="n">
        <v>0.07687242193802368</v>
      </c>
      <c r="L126" s="37" t="n">
        <v>-0.00593298037292378</v>
      </c>
      <c r="M126" s="37" t="n">
        <v>0.01260607476771214</v>
      </c>
      <c r="N126" s="37" t="n">
        <v>0.000620457549396658</v>
      </c>
    </row>
    <row r="127">
      <c r="B127" s="36" t="n">
        <v>44985</v>
      </c>
      <c r="C127" s="37" t="n">
        <v>-0.02514265156021611</v>
      </c>
      <c r="D127" s="37" t="n">
        <v>-0.0465673570026276</v>
      </c>
      <c r="E127" s="37" t="n">
        <v>-0.05814843854453</v>
      </c>
      <c r="F127" s="37" t="n">
        <v>0.003457812221659751</v>
      </c>
      <c r="G127" s="37" t="n">
        <v>-0.01261794386190556</v>
      </c>
      <c r="H127" s="37" t="n">
        <v>-0.03068875746684906</v>
      </c>
      <c r="I127" s="37" t="n">
        <v>-0.02514265156021611</v>
      </c>
      <c r="J127" s="37" t="n">
        <v>-0.0465673570026276</v>
      </c>
      <c r="K127" s="37" t="n">
        <v>-0.05814843854453</v>
      </c>
      <c r="L127" s="37" t="n">
        <v>-0.05699785245396838</v>
      </c>
      <c r="M127" s="37" t="n">
        <v>-0.01922209827773014</v>
      </c>
      <c r="N127" s="37" t="n">
        <v>-0.03344309461446593</v>
      </c>
    </row>
    <row r="128">
      <c r="B128" s="36" t="n">
        <v>45016</v>
      </c>
      <c r="C128" s="37" t="n">
        <v>0.03707761286041333</v>
      </c>
      <c r="D128" s="37" t="n">
        <v>0.05147177437813544</v>
      </c>
      <c r="E128" s="37" t="n">
        <v>0.04594722405446139</v>
      </c>
      <c r="F128" s="37" t="n">
        <v>0.003990869920783124</v>
      </c>
      <c r="G128" s="37" t="n">
        <v>-0.0008261340187218689</v>
      </c>
      <c r="H128" s="37" t="n">
        <v>0.03786932762218798</v>
      </c>
      <c r="I128" s="37" t="n">
        <v>0.03707761286041333</v>
      </c>
      <c r="J128" s="37" t="n">
        <v>0.05147177437813544</v>
      </c>
      <c r="K128" s="37" t="n">
        <v>0.04594722405446139</v>
      </c>
      <c r="L128" s="37" t="n">
        <v>-0.0003164629354782678</v>
      </c>
      <c r="M128" s="37" t="n">
        <v>-0.01181624287729255</v>
      </c>
      <c r="N128" s="37" t="n">
        <v>0.01550211896240339</v>
      </c>
    </row>
    <row r="129">
      <c r="B129" s="36" t="n">
        <v>45046</v>
      </c>
      <c r="C129" s="37" t="n">
        <v>0.01597499793803348</v>
      </c>
      <c r="D129" s="37" t="n">
        <v>0.004046832231456854</v>
      </c>
      <c r="E129" s="37" t="n">
        <v>0.007039758007240327</v>
      </c>
      <c r="F129" s="37" t="n">
        <v>0.003630609395584017</v>
      </c>
      <c r="G129" s="37" t="n">
        <v>-0.002304462518338709</v>
      </c>
      <c r="H129" s="37" t="n">
        <v>0.02958903860441947</v>
      </c>
      <c r="I129" s="37" t="n">
        <v>0.01597499793803348</v>
      </c>
      <c r="J129" s="37" t="n">
        <v>0.004046832231456854</v>
      </c>
      <c r="K129" s="37" t="n">
        <v>0.007039758007240327</v>
      </c>
      <c r="L129" s="37" t="n">
        <v>-0.009496651966175107</v>
      </c>
      <c r="M129" s="37" t="n">
        <v>-0.03010465269783169</v>
      </c>
      <c r="N129" s="37" t="n">
        <v>0.02659501692811772</v>
      </c>
    </row>
    <row r="130">
      <c r="B130" s="36" t="n">
        <v>45077</v>
      </c>
      <c r="C130" s="37" t="n">
        <v>0.004616277344481334</v>
      </c>
      <c r="D130" s="37" t="n">
        <v>-0.02611665503716176</v>
      </c>
      <c r="E130" s="37" t="n">
        <v>-0.02863077941843939</v>
      </c>
      <c r="F130" s="37" t="n">
        <v>0.003751305591955356</v>
      </c>
      <c r="G130" s="37" t="n">
        <v>-0.04556205194728648</v>
      </c>
      <c r="H130" s="37" t="n">
        <v>-0.05272275003382337</v>
      </c>
      <c r="I130" s="37" t="n">
        <v>0.004616277344481334</v>
      </c>
      <c r="J130" s="37" t="n">
        <v>-0.02611665503716176</v>
      </c>
      <c r="K130" s="37" t="n">
        <v>-0.02863077941843939</v>
      </c>
      <c r="L130" s="37" t="n">
        <v>-0.06487697754071131</v>
      </c>
      <c r="M130" s="37" t="n">
        <v>-0.01301498469266038</v>
      </c>
      <c r="N130" s="37" t="n">
        <v>-0.05227549549980048</v>
      </c>
    </row>
    <row r="131">
      <c r="B131" s="36" t="n">
        <v>45107</v>
      </c>
      <c r="C131" s="37" t="n">
        <v>0.06479971073208612</v>
      </c>
      <c r="D131" s="37" t="n">
        <v>-0.001802238558385683</v>
      </c>
      <c r="E131" s="37" t="n">
        <v>0.01835861258083482</v>
      </c>
      <c r="F131" s="37" t="n">
        <v>0.004606776893590458</v>
      </c>
      <c r="G131" s="37" t="n">
        <v>0.07162904178560961</v>
      </c>
      <c r="H131" s="37" t="n">
        <v>0.04173454286687663</v>
      </c>
      <c r="I131" s="37" t="n">
        <v>0.06479971073208612</v>
      </c>
      <c r="J131" s="37" t="n">
        <v>-0.001802238558385683</v>
      </c>
      <c r="K131" s="37" t="n">
        <v>0.01835861258083482</v>
      </c>
      <c r="L131" s="37" t="n">
        <v>0.04477099985287469</v>
      </c>
      <c r="M131" s="37" t="n">
        <v>0.07675552130583196</v>
      </c>
      <c r="N131" s="37" t="n">
        <v>0.04053036851636338</v>
      </c>
    </row>
    <row r="132">
      <c r="B132" s="36" t="n">
        <v>45138</v>
      </c>
      <c r="C132" s="37" t="n">
        <v>0.03273325825695461</v>
      </c>
      <c r="D132" s="37" t="n">
        <v>-0.01898822316802906</v>
      </c>
      <c r="E132" s="37" t="n">
        <v>-0.002941876011702815</v>
      </c>
      <c r="F132" s="37" t="n">
        <v>0.003859881793282449</v>
      </c>
      <c r="G132" s="37" t="n">
        <v>0.02840998290726767</v>
      </c>
      <c r="H132" s="37" t="n">
        <v>-0.006618526533677328</v>
      </c>
      <c r="I132" s="37" t="n">
        <v>0.03273325825695461</v>
      </c>
      <c r="J132" s="37" t="n">
        <v>-0.01898822316802906</v>
      </c>
      <c r="K132" s="37" t="n">
        <v>-0.002941876011702815</v>
      </c>
      <c r="L132" s="37" t="n">
        <v>0.07262025655430393</v>
      </c>
      <c r="M132" s="37" t="n">
        <v>0.01194520937464993</v>
      </c>
      <c r="N132" s="37" t="n">
        <v>0.009339325730290726</v>
      </c>
    </row>
    <row r="133">
      <c r="B133" s="36" t="n">
        <v>45169</v>
      </c>
      <c r="C133" s="37" t="n">
        <v>-0.01625194352818093</v>
      </c>
      <c r="D133" s="37" t="n">
        <v>-0.02166954146428135</v>
      </c>
      <c r="E133" s="37" t="n">
        <v>-0.0204942065806204</v>
      </c>
      <c r="F133" s="37" t="n">
        <v>0.004966654106431045</v>
      </c>
      <c r="G133" s="37" t="n">
        <v>-0.02989381849860789</v>
      </c>
      <c r="H133" s="37" t="n">
        <v>-0.03623549649984346</v>
      </c>
      <c r="I133" s="37" t="n">
        <v>-0.01625194352818093</v>
      </c>
      <c r="J133" s="37" t="n">
        <v>-0.02166954146428135</v>
      </c>
      <c r="K133" s="37" t="n">
        <v>-0.0204942065806204</v>
      </c>
      <c r="L133" s="37" t="n">
        <v>-0.009759063308616311</v>
      </c>
      <c r="M133" s="37" t="n">
        <v>-0.03003170264274346</v>
      </c>
      <c r="N133" s="37" t="n">
        <v>-0.03001076784122625</v>
      </c>
    </row>
    <row r="134">
      <c r="B134" s="36" t="n">
        <v>45199</v>
      </c>
      <c r="C134" s="37" t="n">
        <v>-0.04743446902075976</v>
      </c>
      <c r="D134" s="37" t="n">
        <v>-0.06457818750972677</v>
      </c>
      <c r="E134" s="37" t="n">
        <v>-0.05437166961886131</v>
      </c>
      <c r="F134" s="37" t="n">
        <v>0.003991219279481095</v>
      </c>
      <c r="G134" s="37" t="n">
        <v>-0.0632258706715885</v>
      </c>
      <c r="H134" s="37" t="n">
        <v>-0.04257379322965235</v>
      </c>
      <c r="I134" s="37" t="n">
        <v>-0.04743446902075976</v>
      </c>
      <c r="J134" s="37" t="n">
        <v>-0.06457818750972677</v>
      </c>
      <c r="K134" s="37" t="n">
        <v>-0.05437166961886131</v>
      </c>
      <c r="L134" s="37" t="n">
        <v>-0.01016328360481478</v>
      </c>
      <c r="M134" s="37" t="n">
        <v>-0.05451154965485006</v>
      </c>
      <c r="N134" s="37" t="n">
        <v>-0.03782326387613832</v>
      </c>
    </row>
    <row r="135">
      <c r="B135" s="36" t="n">
        <v>45230</v>
      </c>
      <c r="C135" s="37" t="n">
        <v>-0.02170866128999027</v>
      </c>
      <c r="D135" s="37" t="n">
        <v>-0.0400961165752024</v>
      </c>
      <c r="E135" s="37" t="n">
        <v>-0.04129367946920315</v>
      </c>
      <c r="F135" s="37" t="n">
        <v>0.003809336300726274</v>
      </c>
      <c r="G135" s="37" t="n">
        <v>-0.01624836271719503</v>
      </c>
      <c r="H135" s="37" t="n">
        <v>-0.005284926122212287</v>
      </c>
      <c r="I135" s="37" t="n">
        <v>-0.02170866128999027</v>
      </c>
      <c r="J135" s="37" t="n">
        <v>-0.0400961165752024</v>
      </c>
      <c r="K135" s="37" t="n">
        <v>-0.04129367946920315</v>
      </c>
      <c r="L135" s="37" t="n">
        <v>0.004978215633185235</v>
      </c>
      <c r="M135" s="37" t="n">
        <v>-0.04835454627164282</v>
      </c>
      <c r="N135" s="37" t="n">
        <v>-0.004491603065468586</v>
      </c>
    </row>
    <row r="136">
      <c r="B136" s="36" t="n">
        <v>45260</v>
      </c>
      <c r="C136" s="37" t="n">
        <v>0.09134377913520675</v>
      </c>
      <c r="D136" s="37" t="n">
        <v>0.08166580402251733</v>
      </c>
      <c r="E136" s="37" t="n">
        <v>0.1123032657892034</v>
      </c>
      <c r="F136" s="37" t="n">
        <v>-0.0655492864807265</v>
      </c>
      <c r="G136" s="37" t="n">
        <v>0.05380338586931763</v>
      </c>
      <c r="H136" s="37" t="n">
        <v>0.04495480741727644</v>
      </c>
      <c r="I136" s="37" t="n">
        <v>0.09134377913520675</v>
      </c>
      <c r="J136" s="37" t="n">
        <v>0.08166580402251733</v>
      </c>
      <c r="K136" s="37" t="n">
        <v>0.1123032657892034</v>
      </c>
      <c r="L136" s="37" t="n">
        <v>-0.02972133458663262</v>
      </c>
      <c r="M136" s="37" t="n">
        <v>0.135643503213611</v>
      </c>
      <c r="N136" s="37" t="n">
        <v>0.05351291168526329</v>
      </c>
    </row>
    <row r="137">
      <c r="B137" s="36" t="n">
        <v>45291</v>
      </c>
      <c r="C137" s="37" t="n">
        <v>0.04565539582222566</v>
      </c>
      <c r="D137" s="37" t="n">
        <v>0.07393264189815341</v>
      </c>
      <c r="E137" s="37" t="n">
        <v>0.06819625443540445</v>
      </c>
      <c r="F137" s="37" t="n">
        <v>0.004274985112027174</v>
      </c>
      <c r="G137" s="37" t="n">
        <v>-0.002183419055812996</v>
      </c>
      <c r="H137" s="37" t="n">
        <v>0.0167923877597135</v>
      </c>
      <c r="I137" s="37" t="n">
        <v>0.04565539582222566</v>
      </c>
      <c r="J137" s="37" t="n">
        <v>0.07393264189815341</v>
      </c>
      <c r="K137" s="37" t="n">
        <v>0.06819625443540445</v>
      </c>
      <c r="L137" s="37" t="n">
        <v>-0.03031272362201964</v>
      </c>
      <c r="M137" s="37" t="n">
        <v>0.07922079233923918</v>
      </c>
      <c r="N137" s="37" t="n">
        <v>0.02333803349771935</v>
      </c>
    </row>
    <row r="138">
      <c r="B138" s="36" t="n">
        <v>45322</v>
      </c>
      <c r="C138" s="37" t="n">
        <v>0.0159264537676127</v>
      </c>
      <c r="D138" s="37" t="n">
        <v>-0.01237784471706471</v>
      </c>
      <c r="E138" s="37" t="n">
        <v>-0.007985092883570633</v>
      </c>
      <c r="F138" s="37" t="n">
        <v>0.00426746168146952</v>
      </c>
      <c r="G138" s="37" t="n">
        <v>0.05800545106414116</v>
      </c>
      <c r="H138" s="37" t="n">
        <v>0.03828584471231844</v>
      </c>
      <c r="I138" s="37" t="n">
        <v>0.0159264537676127</v>
      </c>
      <c r="J138" s="37" t="n">
        <v>-0.01237784471706471</v>
      </c>
      <c r="K138" s="37" t="n">
        <v>-0.007985092883570633</v>
      </c>
      <c r="L138" s="37" t="n">
        <v>0.003948695019529103</v>
      </c>
      <c r="M138" s="37" t="n">
        <v>0.0329750273070093</v>
      </c>
      <c r="N138" s="37" t="n">
        <v>0.009406823570746958</v>
      </c>
    </row>
    <row r="139">
      <c r="B139" s="36" t="n">
        <v>45351</v>
      </c>
      <c r="C139" s="37" t="n">
        <v>0.05218682886295478</v>
      </c>
      <c r="D139" s="37" t="n">
        <v>-0.02388201977047666</v>
      </c>
      <c r="E139" s="37" t="n">
        <v>-0.02715686658483984</v>
      </c>
      <c r="F139" s="37" t="n">
        <v>0.004443258895818092</v>
      </c>
      <c r="G139" s="37" t="n">
        <v>0.07850899788354374</v>
      </c>
      <c r="H139" s="37" t="n">
        <v>0.02914931260375275</v>
      </c>
      <c r="I139" s="37" t="n">
        <v>0.05218682886295478</v>
      </c>
      <c r="J139" s="37" t="n">
        <v>-0.02388201977047666</v>
      </c>
      <c r="K139" s="37" t="n">
        <v>-0.02715686658483984</v>
      </c>
      <c r="L139" s="37" t="n">
        <v>-0.01868238907073627</v>
      </c>
      <c r="M139" s="37" t="n">
        <v>0.1083494863539538</v>
      </c>
      <c r="N139" s="37" t="n">
        <v>0.01605710992954301</v>
      </c>
    </row>
    <row r="140">
      <c r="B140" s="36" t="n">
        <v>45382</v>
      </c>
      <c r="C140" s="37" t="n">
        <v>0.03270196030216255</v>
      </c>
      <c r="D140" s="37" t="n">
        <v>0.01296223506444272</v>
      </c>
      <c r="E140" s="37" t="n">
        <v>0.01950919000702589</v>
      </c>
      <c r="F140" s="37" t="n">
        <v>0.004101227156448672</v>
      </c>
      <c r="G140" s="37" t="n">
        <v>0.04185480918073371</v>
      </c>
      <c r="H140" s="37" t="n">
        <v>0.01788629016164366</v>
      </c>
      <c r="I140" s="37" t="n">
        <v>0.03270196030216255</v>
      </c>
      <c r="J140" s="37" t="n">
        <v>0.01296223506444272</v>
      </c>
      <c r="K140" s="37" t="n">
        <v>0.01950919000702589</v>
      </c>
      <c r="L140" s="37" t="n">
        <v>0.03874414918906144</v>
      </c>
      <c r="M140" s="37" t="n">
        <v>0.03556409618467593</v>
      </c>
      <c r="N140" s="37" t="n">
        <v>0.03087915989138112</v>
      </c>
    </row>
    <row r="141">
      <c r="B141" s="36" t="n">
        <v>45412</v>
      </c>
      <c r="C141" s="37" t="n">
        <v>-0.04031962876347306</v>
      </c>
      <c r="D141" s="37" t="n">
        <v>-0.05341515159908938</v>
      </c>
      <c r="E141" s="37" t="n">
        <v>-0.04918343477768605</v>
      </c>
      <c r="F141" s="37" t="n">
        <v>0.003822243073594967</v>
      </c>
      <c r="G141" s="37" t="n">
        <v>-0.04689756886402458</v>
      </c>
      <c r="H141" s="37" t="n">
        <v>-0.03617823576989661</v>
      </c>
      <c r="I141" s="37" t="n">
        <v>-0.04031962876347306</v>
      </c>
      <c r="J141" s="37" t="n">
        <v>-0.05341515159908938</v>
      </c>
      <c r="K141" s="37" t="n">
        <v>-0.04918343477768605</v>
      </c>
      <c r="L141" s="37" t="n">
        <v>0.0292603835659655</v>
      </c>
      <c r="M141" s="37" t="n">
        <v>-0.05261375073541374</v>
      </c>
      <c r="N141" s="37" t="n">
        <v>-0.03125621678428325</v>
      </c>
    </row>
    <row r="142">
      <c r="B142" s="36" t="n">
        <v>45443</v>
      </c>
      <c r="C142" s="37" t="n">
        <v>0.05057978762691429</v>
      </c>
      <c r="D142" s="37" t="n">
        <v>0.0279446488606323</v>
      </c>
      <c r="E142" s="37" t="n">
        <v>0.02959734605727915</v>
      </c>
      <c r="F142" s="37" t="n">
        <v>0.01770445607097478</v>
      </c>
      <c r="G142" s="37" t="n">
        <v>0.09558069798654222</v>
      </c>
      <c r="H142" s="37" t="n">
        <v>0.01055084061566609</v>
      </c>
      <c r="I142" s="37" t="n">
        <v>0.05057978762691429</v>
      </c>
      <c r="J142" s="37" t="n">
        <v>0.0279446488606323</v>
      </c>
      <c r="K142" s="37" t="n">
        <v>0.02959734605727915</v>
      </c>
      <c r="L142" s="37" t="n">
        <v>0.02155584122421161</v>
      </c>
      <c r="M142" s="37" t="n">
        <v>0.05558923023026741</v>
      </c>
      <c r="N142" s="37" t="n">
        <v>0.02588230795197188</v>
      </c>
    </row>
    <row r="143">
      <c r="B143" s="36" t="n">
        <v>45473</v>
      </c>
      <c r="C143" s="37" t="n">
        <v>0.03527997366128366</v>
      </c>
      <c r="D143" s="37" t="n">
        <v>0.01550442862147428</v>
      </c>
      <c r="E143" s="37" t="n">
        <v>0.003146859202748598</v>
      </c>
      <c r="F143" s="37" t="n">
        <v>-0.03253251891960621</v>
      </c>
      <c r="G143" s="37" t="n">
        <v>-0.00983630559476927</v>
      </c>
      <c r="H143" s="37" t="n">
        <v>0.007081497641856871</v>
      </c>
      <c r="I143" s="37" t="n">
        <v>0.03527997366128366</v>
      </c>
      <c r="J143" s="37" t="n">
        <v>0.01550442862147428</v>
      </c>
      <c r="K143" s="37" t="n">
        <v>0.003146859202748598</v>
      </c>
      <c r="L143" s="37" t="n">
        <v>-0.01957184632159947</v>
      </c>
      <c r="M143" s="37" t="n">
        <v>-0.01442998861025813</v>
      </c>
      <c r="N143" s="37" t="n">
        <v>-0.002777800257842244</v>
      </c>
    </row>
    <row r="144">
      <c r="B144" s="36" t="n">
        <v>45504</v>
      </c>
      <c r="C144" s="37" t="n">
        <v>0.01210923117776574</v>
      </c>
      <c r="D144" s="37" t="n">
        <v>0.03476268288309514</v>
      </c>
      <c r="E144" s="37" t="n">
        <v>0.03235560082960864</v>
      </c>
      <c r="F144" s="37" t="n">
        <v>0.001498194576652734</v>
      </c>
      <c r="G144" s="37" t="n">
        <v>-0.01695649933691027</v>
      </c>
      <c r="H144" s="37" t="n">
        <v>0.01695593339924805</v>
      </c>
      <c r="I144" s="37" t="n">
        <v>0.01210923117776574</v>
      </c>
      <c r="J144" s="37" t="n">
        <v>0.03476268288309514</v>
      </c>
      <c r="K144" s="37" t="n">
        <v>0.03235560082960864</v>
      </c>
      <c r="L144" s="37" t="n">
        <v>-0.04148477149357532</v>
      </c>
      <c r="M144" s="37" t="n">
        <v>0.03106766087026047</v>
      </c>
      <c r="N144" s="37" t="n">
        <v>0.04347536863435608</v>
      </c>
    </row>
    <row r="145">
      <c r="B145" s="36" t="n">
        <v>45535</v>
      </c>
      <c r="C145" s="37" t="n">
        <v>0.02336539556603778</v>
      </c>
      <c r="D145" s="37" t="n">
        <v>0.01762956857390452</v>
      </c>
      <c r="E145" s="37" t="n">
        <v>0.02190038264768601</v>
      </c>
      <c r="F145" s="37" t="n">
        <v>0.00045840604155073</v>
      </c>
      <c r="G145" s="37" t="n">
        <v>0.08538507520696391</v>
      </c>
      <c r="H145" s="37" t="n">
        <v>0.05908704928816078</v>
      </c>
      <c r="I145" s="37" t="n">
        <v>0.02336539556603778</v>
      </c>
      <c r="J145" s="37" t="n">
        <v>0.01762956857390452</v>
      </c>
      <c r="K145" s="37" t="n">
        <v>0.02190038264768601</v>
      </c>
      <c r="L145" s="37" t="n">
        <v>-0.003904944148139022</v>
      </c>
      <c r="M145" s="37" t="n">
        <v>0.02929924125581751</v>
      </c>
      <c r="N145" s="37" t="n">
        <v>0.05225944944394456</v>
      </c>
    </row>
    <row r="146">
      <c r="B146" s="36" t="n">
        <v>45565</v>
      </c>
      <c r="C146" s="37" t="n">
        <v>0.0210047800007005</v>
      </c>
      <c r="D146" s="37" t="n">
        <v>0.02126062225874525</v>
      </c>
      <c r="E146" s="37" t="n">
        <v>0.02765570587492361</v>
      </c>
      <c r="F146" s="37" t="n">
        <v>0.06403343081717167</v>
      </c>
      <c r="G146" s="37" t="n">
        <v>0.09903814901486607</v>
      </c>
      <c r="H146" s="37" t="n">
        <v>-0.008642208729907109</v>
      </c>
      <c r="I146" s="37" t="n">
        <v>0.0210047800007005</v>
      </c>
      <c r="J146" s="37" t="n">
        <v>0.02126062225874525</v>
      </c>
      <c r="K146" s="37" t="n">
        <v>0.02765570587492361</v>
      </c>
      <c r="L146" s="37" t="n">
        <v>0.05325060554111882</v>
      </c>
      <c r="M146" s="37" t="n">
        <v>0.03816913341231398</v>
      </c>
      <c r="N146" s="37" t="n">
        <v>0.01039409472706043</v>
      </c>
    </row>
    <row r="147">
      <c r="B147" s="36" t="n">
        <v>45596</v>
      </c>
      <c r="C147" s="37" t="n">
        <v>-0.008923647328876738</v>
      </c>
      <c r="D147" s="37" t="n">
        <v>-0.04929720094057655</v>
      </c>
      <c r="E147" s="37" t="n">
        <v>-0.04393523205670169</v>
      </c>
      <c r="F147" s="37" t="n">
        <v>0.04249348742370923</v>
      </c>
      <c r="G147" s="37" t="n">
        <v>0.01986812513534746</v>
      </c>
      <c r="H147" s="37" t="n">
        <v>-0.01953296468958354</v>
      </c>
      <c r="I147" s="37" t="n">
        <v>-0.008923647328876738</v>
      </c>
      <c r="J147" s="37" t="n">
        <v>-0.04929720094057655</v>
      </c>
      <c r="K147" s="37" t="n">
        <v>-0.04393523205670169</v>
      </c>
      <c r="L147" s="37" t="n">
        <v>-0.01519856243661644</v>
      </c>
      <c r="M147" s="37" t="n">
        <v>-0.006465199716580661</v>
      </c>
      <c r="N147" s="37" t="n">
        <v>-0.009073882148591506</v>
      </c>
    </row>
    <row r="148">
      <c r="B148" s="36" t="n">
        <v>45626</v>
      </c>
      <c r="C148" s="37" t="n">
        <v>0.05963353502628643</v>
      </c>
      <c r="D148" s="37" t="n">
        <v>0.01754350343275135</v>
      </c>
      <c r="E148" s="37" t="n">
        <v>0.02555123644436086</v>
      </c>
      <c r="F148" s="37" t="n">
        <v>-0.04732144418534273</v>
      </c>
      <c r="G148" s="37" t="n">
        <v>0.1676268711070815</v>
      </c>
      <c r="H148" s="37" t="n">
        <v>0.05497712947968215</v>
      </c>
      <c r="I148" s="37" t="n">
        <v>0.05963353502628643</v>
      </c>
      <c r="J148" s="37" t="n">
        <v>0.01754350343275135</v>
      </c>
      <c r="K148" s="37" t="n">
        <v>0.02555123644436086</v>
      </c>
      <c r="L148" s="37" t="n">
        <v>-0.0006299356775959497</v>
      </c>
      <c r="M148" s="37" t="n">
        <v>0.1215993930831996</v>
      </c>
      <c r="N148" s="37" t="n">
        <v>0.05600426989790197</v>
      </c>
    </row>
    <row r="149">
      <c r="B149" s="36" t="n">
        <v>45657</v>
      </c>
      <c r="C149" s="37" t="n">
        <v>-0.02406027380493592</v>
      </c>
      <c r="D149" s="37" t="n">
        <v>-0.04578985424587489</v>
      </c>
      <c r="E149" s="37" t="n">
        <v>-0.04483762641541134</v>
      </c>
      <c r="F149" s="37" t="n">
        <v>-0.03601845815728777</v>
      </c>
      <c r="G149" s="37" t="n">
        <v>-0.06578700669818337</v>
      </c>
      <c r="H149" s="37" t="n">
        <v>-0.0636284158338402</v>
      </c>
      <c r="I149" s="37" t="n">
        <v>-0.02406027380493592</v>
      </c>
      <c r="J149" s="37" t="n">
        <v>-0.04578985424587489</v>
      </c>
      <c r="K149" s="37" t="n">
        <v>-0.04483762641541134</v>
      </c>
      <c r="L149" s="37" t="n">
        <v>0.01134574899291629</v>
      </c>
      <c r="M149" s="37" t="n">
        <v>-0.0909018407315999</v>
      </c>
      <c r="N149" s="37" t="n">
        <v>-0.06343698551323906</v>
      </c>
    </row>
    <row r="150">
      <c r="B150" s="36" t="n">
        <v>45688</v>
      </c>
      <c r="C150" s="37" t="n">
        <v>0.02685656057648211</v>
      </c>
      <c r="D150" s="37" t="n">
        <v>0.007233347197701523</v>
      </c>
      <c r="E150" s="37" t="n">
        <v>0.004145712213489361</v>
      </c>
      <c r="F150" s="37" t="n">
        <v>0.06685607873643395</v>
      </c>
      <c r="G150" s="37" t="n">
        <v>0.1060762957312367</v>
      </c>
      <c r="H150" s="37" t="n">
        <v>0.0361759871753416</v>
      </c>
      <c r="I150" s="37" t="n">
        <v>0.02685656057648211</v>
      </c>
      <c r="J150" s="37" t="n">
        <v>0.007233347197701523</v>
      </c>
      <c r="K150" s="37" t="n">
        <v>0.004145712213489361</v>
      </c>
      <c r="L150" s="37" t="n">
        <v>0.04674353358889061</v>
      </c>
      <c r="M150" s="37" t="n">
        <v>0.05925470073530548</v>
      </c>
      <c r="N150" s="37" t="n">
        <v>0.02061111374359603</v>
      </c>
    </row>
    <row r="151">
      <c r="B151" s="36" t="n">
        <v>45716</v>
      </c>
      <c r="C151" s="37" t="n">
        <v>-0.01269494148854144</v>
      </c>
      <c r="D151" s="37" t="n">
        <v>0.04623118231317669</v>
      </c>
      <c r="E151" s="37" t="n">
        <v>0.03431669320130259</v>
      </c>
      <c r="F151" s="37" t="n">
        <v>-0.04021738072012693</v>
      </c>
      <c r="G151" s="37" t="n">
        <v>-0.04846309545646327</v>
      </c>
      <c r="H151" s="37" t="n">
        <v>0.06325434812988866</v>
      </c>
      <c r="I151" s="37" t="n">
        <v>-0.01269494148854144</v>
      </c>
      <c r="J151" s="37" t="n">
        <v>0.04623118231317669</v>
      </c>
      <c r="K151" s="37" t="n">
        <v>0.03431669320130259</v>
      </c>
      <c r="L151" s="37" t="n">
        <v>0.009526635706179398</v>
      </c>
      <c r="M151" s="37" t="n">
        <v>-0.08170173632046396</v>
      </c>
      <c r="N151" s="37" t="n">
        <v>0.046033331615837</v>
      </c>
    </row>
    <row r="152">
      <c r="B152" s="36" t="n">
        <v>45747</v>
      </c>
      <c r="C152" s="37" t="n">
        <v>-0.0557191077762873</v>
      </c>
      <c r="D152" s="37" t="n">
        <v>-0.005111057689715981</v>
      </c>
      <c r="E152" s="37" t="n">
        <v>-0.01424549635673511</v>
      </c>
      <c r="F152" s="37" t="n">
        <v>-0.006662536797984896</v>
      </c>
      <c r="G152" s="37" t="n">
        <v>-0.09477849604165781</v>
      </c>
      <c r="H152" s="37" t="n">
        <v>0.01080181518581673</v>
      </c>
      <c r="I152" s="37" t="n">
        <v>-0.0557191077762873</v>
      </c>
      <c r="J152" s="37" t="n">
        <v>-0.005111057689715981</v>
      </c>
      <c r="K152" s="37" t="n">
        <v>-0.01424549635673511</v>
      </c>
      <c r="L152" s="37" t="n">
        <v>0.041285801597718</v>
      </c>
      <c r="M152" s="37" t="n">
        <v>-0.04777171384112655</v>
      </c>
      <c r="N152" s="37" t="n">
        <v>0.004143765945760602</v>
      </c>
    </row>
    <row r="153">
      <c r="B153" s="36" t="n">
        <v>45777</v>
      </c>
      <c r="C153" s="37" t="n">
        <v>-0.008670166230189347</v>
      </c>
      <c r="D153" s="37" t="n">
        <v>-0.007157766843336799</v>
      </c>
      <c r="E153" s="37" t="n">
        <v>-0.0138442466252634</v>
      </c>
      <c r="F153" s="37" t="n">
        <v>0.05357770610573246</v>
      </c>
      <c r="G153" s="37" t="n">
        <v>0.02734868793267069</v>
      </c>
      <c r="H153" s="37" t="n">
        <v>-0.006371214563633444</v>
      </c>
      <c r="I153" s="37" t="n">
        <v>-0.008670166230189347</v>
      </c>
      <c r="J153" s="37" t="n">
        <v>-0.007157766843336799</v>
      </c>
      <c r="K153" s="37" t="n">
        <v>-0.0138442466252634</v>
      </c>
      <c r="L153" s="37" t="n">
        <v>-0.05749086703603656</v>
      </c>
      <c r="M153" s="37" t="n">
        <v>-0.009427627296210717</v>
      </c>
      <c r="N153" s="37" t="n">
        <v>-0.02375137971350905</v>
      </c>
    </row>
    <row r="154">
      <c r="B154" s="36" t="n">
        <v>45808</v>
      </c>
      <c r="C154" s="37" t="n">
        <v>0.06284493303163585</v>
      </c>
      <c r="D154" s="37" t="n">
        <v>-0.02526320618391176</v>
      </c>
      <c r="E154" s="37" t="n">
        <v>-0.001240697813570613</v>
      </c>
      <c r="F154" s="37" t="n">
        <v>0.01322850530262365</v>
      </c>
      <c r="G154" s="37" t="n">
        <v>0.05200924137111268</v>
      </c>
      <c r="H154" s="37" t="n">
        <v>0.01042937349917799</v>
      </c>
      <c r="I154" s="37" t="n">
        <v>0.06284493303163585</v>
      </c>
      <c r="J154" s="37" t="n">
        <v>-0.02526320618391176</v>
      </c>
      <c r="K154" s="37" t="n">
        <v>-0.001240697813570613</v>
      </c>
      <c r="L154" s="37" t="n">
        <v>-0.006009523905589953</v>
      </c>
      <c r="M154" s="37" t="n">
        <v>0.04784154051488931</v>
      </c>
      <c r="N154" s="37" t="n">
        <v>0.01037780132990762</v>
      </c>
    </row>
    <row r="155">
      <c r="B155" s="36" t="n">
        <v>45838</v>
      </c>
      <c r="C155" s="37" t="n">
        <v>0.05138623000675246</v>
      </c>
      <c r="D155" s="37" t="n">
        <v>0.02260599150062115</v>
      </c>
      <c r="E155" s="37" t="n">
        <v>0.02999058197074778</v>
      </c>
      <c r="F155" s="37" t="n">
        <v>0.004051318985581975</v>
      </c>
      <c r="G155" s="37" t="n">
        <v>0.07806035220248933</v>
      </c>
      <c r="H155" s="37" t="n">
        <v>-0.005356436070039372</v>
      </c>
      <c r="I155" s="37" t="n">
        <v>0.05138623000675246</v>
      </c>
      <c r="J155" s="37" t="n">
        <v>0.02260599150062115</v>
      </c>
      <c r="K155" s="37" t="n">
        <v>0.02999058197074778</v>
      </c>
      <c r="L155" s="37" t="n">
        <v>0.02720670076676801</v>
      </c>
      <c r="M155" s="37" t="n">
        <v>0.05392926318617963</v>
      </c>
      <c r="N155" s="37" t="n">
        <v>-0.007092885788496428</v>
      </c>
    </row>
    <row r="156">
      <c r="B156" s="36" t="n">
        <v>45869</v>
      </c>
      <c r="C156" s="37" t="n">
        <v>0.02303144651575328</v>
      </c>
      <c r="D156" s="37" t="n">
        <v>-0.007408163294455261</v>
      </c>
      <c r="E156" s="37" t="n">
        <v>-0.002130788996201449</v>
      </c>
      <c r="F156" s="37" t="n">
        <v>-0.006634551059805871</v>
      </c>
      <c r="G156" s="37" t="n">
        <v>0.004732149272545255</v>
      </c>
      <c r="H156" s="37" t="n">
        <v>-0.0005051608928907193</v>
      </c>
      <c r="I156" s="37" t="n">
        <v>0.02303144651575328</v>
      </c>
      <c r="J156" s="37" t="n">
        <v>-0.007408163294455261</v>
      </c>
      <c r="K156" s="37" t="n">
        <v>-0.002130788996201449</v>
      </c>
      <c r="L156" s="37" t="n">
        <v>-0.006474432715329215</v>
      </c>
      <c r="M156" s="37" t="n">
        <v>-0.01755934401647208</v>
      </c>
      <c r="N156" s="37" t="n">
        <v>-0.002640702274282702</v>
      </c>
    </row>
    <row r="157">
      <c r="B157" s="36" t="n">
        <v>45900</v>
      </c>
      <c r="C157" s="37" t="n">
        <v>0.02051948404438786</v>
      </c>
      <c r="D157" s="37" t="n">
        <v>0.008061025726051829</v>
      </c>
      <c r="E157" s="37" t="n">
        <v>0.007135823079687187</v>
      </c>
      <c r="F157" s="37" t="n">
        <v>0.06750452360080056</v>
      </c>
      <c r="G157" s="37" t="n">
        <v>-0.04176253499478549</v>
      </c>
      <c r="H157" s="37" t="n">
        <v>0.01854547022478794</v>
      </c>
      <c r="I157" s="37" t="n">
        <v>0.02051948404438786</v>
      </c>
      <c r="J157" s="37" t="n">
        <v>0.008061025726051829</v>
      </c>
      <c r="K157" s="37" t="n">
        <v>0.007135823079687187</v>
      </c>
      <c r="L157" s="37" t="n">
        <v>0.02280807156535136</v>
      </c>
      <c r="M157" s="37" t="n">
        <v>-0.01408231143533167</v>
      </c>
      <c r="N157" s="37" t="n">
        <v>0.0155755602590153</v>
      </c>
    </row>
    <row r="158">
      <c r="B158" s="36" t="n">
        <v>45930</v>
      </c>
      <c r="C158" s="37" t="n">
        <v>0.03562043418529992</v>
      </c>
      <c r="D158" s="37" t="n">
        <v>0.02429691726007466</v>
      </c>
      <c r="E158" s="37" t="n">
        <v>0.03292326753631492</v>
      </c>
      <c r="F158" s="37" t="n">
        <v>0.1707654197205415</v>
      </c>
      <c r="G158" s="37" t="n">
        <v>0.08876813689583239</v>
      </c>
      <c r="H158" s="37" t="n">
        <v>0.000344509863819032</v>
      </c>
      <c r="I158" s="37" t="n">
        <v>0.03562043418529992</v>
      </c>
      <c r="J158" s="37" t="n">
        <v>0.02429691726007466</v>
      </c>
      <c r="K158" s="37" t="n">
        <v>0.03292326753631492</v>
      </c>
      <c r="L158" s="37" t="n">
        <v>0.02635389167629265</v>
      </c>
      <c r="M158" s="37" t="n">
        <v>0.02384814650866574</v>
      </c>
      <c r="N158" s="37" t="n">
        <v>0.001557701637181941</v>
      </c>
    </row>
    <row r="159">
      <c r="B159" s="36" t="n">
        <v>45961</v>
      </c>
      <c r="C159" s="37" t="n">
        <v>0.02383739357630099</v>
      </c>
      <c r="D159" s="37" t="n">
        <v>0.01155458801712705</v>
      </c>
      <c r="E159" s="37" t="n">
        <v>0.001280325764514423</v>
      </c>
      <c r="F159" s="37" t="n">
        <v>0.03820661862146729</v>
      </c>
      <c r="G159" s="37" t="n">
        <v>-0.007616740975092587</v>
      </c>
      <c r="H159" s="37" t="n">
        <v>-0.03847404302800716</v>
      </c>
      <c r="I159" s="37" t="n">
        <v>0.02383739357630099</v>
      </c>
      <c r="J159" s="37" t="n">
        <v>0.01155458801712705</v>
      </c>
      <c r="K159" s="37" t="n">
        <v>0.001280325764514423</v>
      </c>
      <c r="L159" s="37" t="n">
        <v>0.03132056019649565</v>
      </c>
      <c r="M159" s="37" t="n">
        <v>0.04470750021989423</v>
      </c>
      <c r="N159" s="37" t="n">
        <v>-0.03716031626270966</v>
      </c>
    </row>
    <row r="160">
      <c r="B160" s="36" t="n">
        <v>45991</v>
      </c>
      <c r="C160" s="37" t="n">
        <v>0.001950004912907977</v>
      </c>
      <c r="D160" s="37" t="n">
        <v>0.005983050358392861</v>
      </c>
      <c r="E160" s="37" t="n">
        <v>0.008211421459460633</v>
      </c>
      <c r="F160" s="37" t="n">
        <v>0.1083053572913219</v>
      </c>
      <c r="G160" s="37" t="n">
        <v>-0.03152051943270796</v>
      </c>
      <c r="H160" s="37" t="n">
        <v>0.03365352521192443</v>
      </c>
      <c r="I160" s="37" t="n">
        <v>0.001950004912907977</v>
      </c>
      <c r="J160" s="37" t="n">
        <v>0.005983050358392861</v>
      </c>
      <c r="K160" s="37" t="n">
        <v>0.008211421459460633</v>
      </c>
      <c r="L160" s="37" t="n">
        <v>0.03474693527424022</v>
      </c>
      <c r="M160" s="37" t="n">
        <v>-0.02776201442137294</v>
      </c>
      <c r="N160" s="37" t="n">
        <v>0.03803154761425587</v>
      </c>
    </row>
    <row r="161">
      <c r="B161" s="36" t="n">
        <v>46022</v>
      </c>
      <c r="C161" s="37" t="n">
        <v>0.0007975029584423865</v>
      </c>
      <c r="D161" s="37" t="n">
        <v>-0.01607423548226583</v>
      </c>
      <c r="E161" s="37" t="n">
        <v>-0.01525649996998657</v>
      </c>
      <c r="F161" s="37" t="n">
        <v>0.1209048267278109</v>
      </c>
      <c r="G161" s="37" t="n">
        <v>0.04476329334651302</v>
      </c>
      <c r="H161" s="37" t="n">
        <v>-0.02536579963873311</v>
      </c>
      <c r="I161" s="37" t="n">
        <v>0.0007975029584423865</v>
      </c>
      <c r="J161" s="37" t="n">
        <v>-0.01607423548226583</v>
      </c>
      <c r="K161" s="37" t="n">
        <v>-0.01525649996998657</v>
      </c>
      <c r="L161" s="37" t="n">
        <v>-0.005552593499925207</v>
      </c>
      <c r="M161" s="37" t="n">
        <v>0.002871435416549772</v>
      </c>
      <c r="N161" s="37" t="n">
        <v>-0.02207881513726395</v>
      </c>
    </row>
    <row r="162">
      <c r="B162" s="36" t="n">
        <v>46053</v>
      </c>
      <c r="C162" s="37" t="n">
        <v>0.01473772883957447</v>
      </c>
      <c r="D162" s="37" t="n">
        <v>-0.0006884309195567262</v>
      </c>
      <c r="E162" s="37" t="n">
        <v>0.004746288778354701</v>
      </c>
      <c r="F162" s="37" t="n">
        <v>0.1119484303696909</v>
      </c>
      <c r="G162" s="37" t="n">
        <v>0.1295167984379071</v>
      </c>
      <c r="H162" s="37" t="n">
        <v>0.03575031894096463</v>
      </c>
      <c r="I162" s="37" t="n">
        <v>0.01473772883957447</v>
      </c>
      <c r="J162" s="37" t="n">
        <v>-0.0006884309195567262</v>
      </c>
      <c r="K162" s="37" t="n">
        <v>0.004746288778354701</v>
      </c>
      <c r="L162" s="37" t="n">
        <v>0.1289550224784151</v>
      </c>
      <c r="M162" s="37" t="n">
        <v>0.03960545510950597</v>
      </c>
      <c r="N162" s="37" t="n">
        <v>0.03312816189786116</v>
      </c>
    </row>
    <row r="163">
      <c r="B163" s="36" t="n">
        <v>46081</v>
      </c>
      <c r="C163" s="37" t="n">
        <v>-0.008641958340223965</v>
      </c>
      <c r="D163" s="37" t="n">
        <v>0.03734434054680946</v>
      </c>
      <c r="E163" s="37" t="n">
        <v>0.01853312016089737</v>
      </c>
      <c r="F163" s="37" t="n">
        <v>0.07538128672098199</v>
      </c>
      <c r="G163" s="37" t="n">
        <v>0.07651754169948263</v>
      </c>
      <c r="H163" s="37" t="n">
        <v>0.08420632134079604</v>
      </c>
      <c r="I163" s="37" t="n">
        <v>-0.008641958340223965</v>
      </c>
      <c r="J163" s="37" t="n">
        <v>0.03734434054680946</v>
      </c>
      <c r="K163" s="37" t="n">
        <v>0.01853312016089737</v>
      </c>
      <c r="L163" s="37" t="n">
        <v>0.005416852265558214</v>
      </c>
      <c r="M163" s="37" t="n">
        <v>0.07794638450643898</v>
      </c>
      <c r="N163" s="37" t="n">
        <v>0.05278822409259898</v>
      </c>
    </row>
    <row r="164">
      <c r="B164" s="36" t="n">
        <v>46112</v>
      </c>
      <c r="C164" s="37" t="n">
        <v>-0.04937956664344334</v>
      </c>
      <c r="D164" s="37" t="n">
        <v>-0.03765502363863393</v>
      </c>
      <c r="E164" s="37" t="n">
        <v>-0.02900490697553448</v>
      </c>
      <c r="F164" s="37" t="n">
        <v>-0.1254006349929258</v>
      </c>
      <c r="G164" s="37" t="n">
        <v>-0.07375738617669153</v>
      </c>
      <c r="H164" s="37" t="n">
        <v>-0.04650585546229994</v>
      </c>
      <c r="I164" s="37" t="n">
        <v>-0.04937956664344334</v>
      </c>
      <c r="J164" s="37" t="n">
        <v>-0.03765502363863393</v>
      </c>
      <c r="K164" s="37" t="n">
        <v>-0.02900490697553448</v>
      </c>
      <c r="L164" s="37" t="n">
        <v>0.1276645804230518</v>
      </c>
      <c r="M164" s="37" t="n">
        <v>-0.06643342607277969</v>
      </c>
      <c r="N164" s="37" t="n">
        <v>-0.05327220182785264</v>
      </c>
    </row>
    <row r="165">
      <c r="B165" s="36" t="n">
        <v>46142</v>
      </c>
      <c r="C165" s="37" t="n">
        <v>0.1050526868659725</v>
      </c>
      <c r="D165" s="37" t="n">
        <v>-0.004973562182045477</v>
      </c>
      <c r="E165" s="37" t="n">
        <v>0.003307971379093777</v>
      </c>
      <c r="F165" s="37" t="n">
        <v>0.02229252540649812</v>
      </c>
      <c r="G165" s="37" t="n">
        <v>0.2041196124403068</v>
      </c>
      <c r="H165" s="37" t="n">
        <v>0.006359122275037159</v>
      </c>
      <c r="I165" s="37" t="n">
        <v>0.1050526868659725</v>
      </c>
      <c r="J165" s="37" t="n">
        <v>-0.004973562182045477</v>
      </c>
      <c r="K165" s="37" t="n">
        <v>0.003307971379093777</v>
      </c>
      <c r="L165" s="37" t="n">
        <v>0.04756960832076285</v>
      </c>
      <c r="M165" s="37" t="n">
        <v>0.1233202152268915</v>
      </c>
      <c r="N165" s="37" t="n">
        <v>0.02032974649638275</v>
      </c>
    </row>
    <row r="166">
      <c r="B166" s="36" t="n">
        <v>46173</v>
      </c>
      <c r="C166" s="37" t="n">
        <v>0.05262575303750272</v>
      </c>
      <c r="D166" s="37" t="n">
        <v>0.004413396815203141</v>
      </c>
      <c r="E166" s="37" t="n">
        <v>0.01544098817298933</v>
      </c>
      <c r="F166" s="37" t="n">
        <v>-0.06940549336813923</v>
      </c>
      <c r="G166" s="37" t="n">
        <v>0.02970838029200289</v>
      </c>
      <c r="H166" s="37" t="n">
        <v>-0.03178901930631279</v>
      </c>
      <c r="I166" s="37" t="n">
        <v>0.05262575303750272</v>
      </c>
      <c r="J166" s="37" t="n">
        <v>0.004413396815203141</v>
      </c>
      <c r="K166" s="37" t="n">
        <v>0.01544098817298933</v>
      </c>
      <c r="L166" s="37" t="n">
        <v>-0.04045212974781542</v>
      </c>
      <c r="M166" s="37" t="n">
        <v>0.0481663811302786</v>
      </c>
      <c r="N166" s="37" t="n">
        <v>-0.02878234902067101</v>
      </c>
    </row>
    <row r="167">
      <c r="B167" s="36" t="n">
        <v>46203</v>
      </c>
      <c r="C167" s="37" t="n">
        <v>-0.01029256644383902</v>
      </c>
      <c r="D167" s="37" t="n">
        <v>0.008552777611029683</v>
      </c>
      <c r="E167" s="37" t="n">
        <v>0.002330959311212188</v>
      </c>
      <c r="F167" s="37" t="n">
        <v>-0.1759589398019537</v>
      </c>
      <c r="G167" s="37" t="n">
        <v>0.05007870828940374</v>
      </c>
      <c r="H167" s="37" t="n">
        <v>0.04623579847309447</v>
      </c>
      <c r="I167" s="37" t="n">
        <v>-0.01029256644383902</v>
      </c>
      <c r="J167" s="37" t="n">
        <v>0.008552777611029683</v>
      </c>
      <c r="K167" s="37" t="n">
        <v>0.002330959311212188</v>
      </c>
      <c r="L167" s="37" t="n">
        <v>-0.0967142046746321</v>
      </c>
      <c r="M167" s="37" t="n">
        <v>-0.0211363538703454</v>
      </c>
      <c r="N167" s="37" t="n">
        <v>0.03921464881696957</v>
      </c>
    </row>
    <row r="168">
      <c r="B168" s="36" t="n">
        <v>46234</v>
      </c>
      <c r="C168" s="37" t="n">
        <v>0.0003481791700585823</v>
      </c>
      <c r="D168" s="37" t="n">
        <v>-0.03447451446222283</v>
      </c>
      <c r="E168" s="37" t="n">
        <v>-0.03895451981814968</v>
      </c>
      <c r="F168" s="37" t="n">
        <v>0.1305250302454102</v>
      </c>
      <c r="G168" s="37" t="n">
        <v>-0.2897922551642945</v>
      </c>
      <c r="H168" s="37" t="n">
        <v>0.01064033553376044</v>
      </c>
      <c r="I168" s="37" t="n">
        <v>0.0003481791700585823</v>
      </c>
      <c r="J168" s="37" t="n">
        <v>-0.03447451446222283</v>
      </c>
      <c r="K168" s="37" t="n">
        <v>-0.03895451981814968</v>
      </c>
      <c r="L168" s="37" t="n">
        <v>0.08396252712222751</v>
      </c>
      <c r="M168" s="37" t="n">
        <v>-0.06338124324142558</v>
      </c>
      <c r="N168" s="37" t="n">
        <v>0.01963458255780326</v>
      </c>
    </row>
    <row r="169">
      <c r="B169" s="36" t="n">
        <v>46265</v>
      </c>
      <c r="C169" s="37" t="n">
        <v>0.02987824506877002</v>
      </c>
      <c r="D169" s="37" t="n">
        <v>0.01174082448919322</v>
      </c>
      <c r="E169" s="37" t="n">
        <v>0.009910715260478486</v>
      </c>
      <c r="F169" s="37" t="n">
        <v>0.002158422846043784</v>
      </c>
      <c r="G169" s="37" t="n">
        <v>0.3622997458598958</v>
      </c>
      <c r="H169" s="37" t="n">
        <v>-0.01534113216028697</v>
      </c>
      <c r="I169" s="37" t="n">
        <v>0.02987824506877002</v>
      </c>
      <c r="J169" s="37" t="n">
        <v>0.01174082448919322</v>
      </c>
      <c r="K169" s="37" t="n">
        <v>0.009910715260478486</v>
      </c>
      <c r="L169" s="37" t="n">
        <v>0.0837905723197101</v>
      </c>
      <c r="M169" s="37" t="n">
        <v>-0.009289362333034568</v>
      </c>
      <c r="N169" s="37" t="n">
        <v>-0.01835105816501681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Markowitz: estadísticos con fórmulas y cartera de máximo Sharpe histórico</t>
        </is>
      </c>
    </row>
    <row r="3">
      <c r="B3" s="2" t="inlineStr">
        <is>
          <t>Referencia: optimizar con medias históricas sobreajusta (ver walk-forward en 09). La recomendación es Black-Litterman (06).</t>
        </is>
      </c>
    </row>
    <row r="5">
      <c r="B5" s="4" t="inlineStr">
        <is>
          <t>Activo</t>
        </is>
      </c>
      <c r="C5" s="4" t="inlineStr">
        <is>
          <t>Retorno anual</t>
        </is>
      </c>
      <c r="D5" s="4" t="inlineStr">
        <is>
          <t>Volatilidad anual</t>
        </is>
      </c>
      <c r="E5" s="4" t="inlineStr">
        <is>
          <t>Peso Markowitz (máx. Sharpe, SLSQP)</t>
        </is>
      </c>
      <c r="F5" s="4" t="inlineStr">
        <is>
          <t>Peso aprobado (BL)</t>
        </is>
      </c>
    </row>
    <row r="6">
      <c r="B6" s="6" t="inlineStr">
        <is>
          <t>S&amp;P 500 (SPY)</t>
        </is>
      </c>
      <c r="C6" s="38">
        <f>AVERAGE('04_Datos_Mensuales'!$C$6:$C$169)*12</f>
        <v/>
      </c>
      <c r="D6" s="38">
        <f>_xlfn.STDEV.S('04_Datos_Mensuales'!$C$6:$C$169)*SQRT(12)</f>
        <v/>
      </c>
      <c r="E6" s="27" t="n">
        <v>0.4532040530210445</v>
      </c>
      <c r="F6" s="23" t="n">
        <v>0.3789</v>
      </c>
    </row>
    <row r="7">
      <c r="B7" s="6" t="inlineStr">
        <is>
          <t>Tesoro EE.UU. 10-20 años (TLH)</t>
        </is>
      </c>
      <c r="C7" s="38">
        <f>AVERAGE('04_Datos_Mensuales'!$D$6:$D$169)*12</f>
        <v/>
      </c>
      <c r="D7" s="38">
        <f>_xlfn.STDEV.S('04_Datos_Mensuales'!$D$6:$D$169)*SQRT(12)</f>
        <v/>
      </c>
      <c r="E7" s="27" t="n">
        <v>0.08000000000000004</v>
      </c>
      <c r="F7" s="23" t="n">
        <v>0.1687</v>
      </c>
    </row>
    <row r="8">
      <c r="B8" s="6" t="inlineStr">
        <is>
          <t>Corporativos largo plazo (VCLT)</t>
        </is>
      </c>
      <c r="C8" s="38">
        <f>AVERAGE('04_Datos_Mensuales'!$E$6:$E$169)*12</f>
        <v/>
      </c>
      <c r="D8" s="38">
        <f>_xlfn.STDEV.S('04_Datos_Mensuales'!$E$6:$E$169)*SQRT(12)</f>
        <v/>
      </c>
      <c r="E8" s="27" t="n">
        <v>0.07999999999999996</v>
      </c>
      <c r="F8" s="23" t="n">
        <v>0.146</v>
      </c>
    </row>
    <row r="9">
      <c r="B9" s="6" t="inlineStr">
        <is>
          <t>Momentum en commodities</t>
        </is>
      </c>
      <c r="C9" s="38">
        <f>AVERAGE('04_Datos_Mensuales'!$F$6:$F$169)*12</f>
        <v/>
      </c>
      <c r="D9" s="38">
        <f>_xlfn.STDEV.S('04_Datos_Mensuales'!$F$6:$F$169)*SQRT(12)</f>
        <v/>
      </c>
      <c r="E9" s="27" t="n">
        <v>0.1841688344420333</v>
      </c>
      <c r="F9" s="23" t="n">
        <v>0.0611</v>
      </c>
    </row>
    <row r="10">
      <c r="B10" s="6" t="inlineStr">
        <is>
          <t>Momentum en acciones</t>
        </is>
      </c>
      <c r="C10" s="38">
        <f>AVERAGE('04_Datos_Mensuales'!$G$6:$G$169)*12</f>
        <v/>
      </c>
      <c r="D10" s="38">
        <f>_xlfn.STDEV.S('04_Datos_Mensuales'!$G$6:$G$169)*SQRT(12)</f>
        <v/>
      </c>
      <c r="E10" s="27" t="n">
        <v>0.02306704432244698</v>
      </c>
      <c r="F10" s="23" t="n">
        <v>0.0706</v>
      </c>
    </row>
    <row r="11">
      <c r="B11" s="6" t="inlineStr">
        <is>
          <t>Low-Volatility</t>
        </is>
      </c>
      <c r="C11" s="38">
        <f>AVERAGE('04_Datos_Mensuales'!$H$6:$H$169)*12</f>
        <v/>
      </c>
      <c r="D11" s="38">
        <f>_xlfn.STDEV.S('04_Datos_Mensuales'!$H$6:$H$169)*SQRT(12)</f>
        <v/>
      </c>
      <c r="E11" s="27" t="n">
        <v>0.1795600682144752</v>
      </c>
      <c r="F11" s="23" t="n">
        <v>0.1746</v>
      </c>
    </row>
    <row r="13">
      <c r="B13" s="25" t="inlineStr">
        <is>
          <t>Matriz de covarianza anual (fórmulas COVARIANCE.S)</t>
        </is>
      </c>
    </row>
    <row r="14">
      <c r="C14" s="4" t="inlineStr">
        <is>
          <t>S&amp;P 500 (SPY)</t>
        </is>
      </c>
      <c r="D14" s="4" t="inlineStr">
        <is>
          <t>Tesoro EE.UU. 10-20 añ</t>
        </is>
      </c>
      <c r="E14" s="4" t="inlineStr">
        <is>
          <t>Corporativos largo pla</t>
        </is>
      </c>
      <c r="F14" s="4" t="inlineStr">
        <is>
          <t>Momentum en commoditie</t>
        </is>
      </c>
      <c r="G14" s="4" t="inlineStr">
        <is>
          <t>Momentum en acciones</t>
        </is>
      </c>
      <c r="H14" s="4" t="inlineStr">
        <is>
          <t>Low-Volatility</t>
        </is>
      </c>
    </row>
    <row r="15">
      <c r="B15" s="6" t="inlineStr">
        <is>
          <t>S&amp;P 500 (SPY)</t>
        </is>
      </c>
      <c r="C15" s="39">
        <f>_xlfn.COVARIANCE.S('04_Datos_Mensuales'!$C$6:$C$169,'04_Datos_Mensuales'!$C$6:$C$169)*12</f>
        <v/>
      </c>
      <c r="D15" s="39">
        <f>_xlfn.COVARIANCE.S('04_Datos_Mensuales'!$C$6:$C$169,'04_Datos_Mensuales'!$D$6:$D$169)*12</f>
        <v/>
      </c>
      <c r="E15" s="39">
        <f>_xlfn.COVARIANCE.S('04_Datos_Mensuales'!$C$6:$C$169,'04_Datos_Mensuales'!$E$6:$E$169)*12</f>
        <v/>
      </c>
      <c r="F15" s="39">
        <f>_xlfn.COVARIANCE.S('04_Datos_Mensuales'!$C$6:$C$169,'04_Datos_Mensuales'!$F$6:$F$169)*12</f>
        <v/>
      </c>
      <c r="G15" s="39">
        <f>_xlfn.COVARIANCE.S('04_Datos_Mensuales'!$C$6:$C$169,'04_Datos_Mensuales'!$G$6:$G$169)*12</f>
        <v/>
      </c>
      <c r="H15" s="39">
        <f>_xlfn.COVARIANCE.S('04_Datos_Mensuales'!$C$6:$C$169,'04_Datos_Mensuales'!$H$6:$H$169)*12</f>
        <v/>
      </c>
    </row>
    <row r="16">
      <c r="B16" s="6" t="inlineStr">
        <is>
          <t>Tesoro EE.UU. 10-20 años (TLH)</t>
        </is>
      </c>
      <c r="C16" s="39">
        <f>_xlfn.COVARIANCE.S('04_Datos_Mensuales'!$D$6:$D$169,'04_Datos_Mensuales'!$C$6:$C$169)*12</f>
        <v/>
      </c>
      <c r="D16" s="39">
        <f>_xlfn.COVARIANCE.S('04_Datos_Mensuales'!$D$6:$D$169,'04_Datos_Mensuales'!$D$6:$D$169)*12</f>
        <v/>
      </c>
      <c r="E16" s="39">
        <f>_xlfn.COVARIANCE.S('04_Datos_Mensuales'!$D$6:$D$169,'04_Datos_Mensuales'!$E$6:$E$169)*12</f>
        <v/>
      </c>
      <c r="F16" s="39">
        <f>_xlfn.COVARIANCE.S('04_Datos_Mensuales'!$D$6:$D$169,'04_Datos_Mensuales'!$F$6:$F$169)*12</f>
        <v/>
      </c>
      <c r="G16" s="39">
        <f>_xlfn.COVARIANCE.S('04_Datos_Mensuales'!$D$6:$D$169,'04_Datos_Mensuales'!$G$6:$G$169)*12</f>
        <v/>
      </c>
      <c r="H16" s="39">
        <f>_xlfn.COVARIANCE.S('04_Datos_Mensuales'!$D$6:$D$169,'04_Datos_Mensuales'!$H$6:$H$169)*12</f>
        <v/>
      </c>
    </row>
    <row r="17">
      <c r="B17" s="6" t="inlineStr">
        <is>
          <t>Corporativos largo plazo (VCLT)</t>
        </is>
      </c>
      <c r="C17" s="39">
        <f>_xlfn.COVARIANCE.S('04_Datos_Mensuales'!$E$6:$E$169,'04_Datos_Mensuales'!$C$6:$C$169)*12</f>
        <v/>
      </c>
      <c r="D17" s="39">
        <f>_xlfn.COVARIANCE.S('04_Datos_Mensuales'!$E$6:$E$169,'04_Datos_Mensuales'!$D$6:$D$169)*12</f>
        <v/>
      </c>
      <c r="E17" s="39">
        <f>_xlfn.COVARIANCE.S('04_Datos_Mensuales'!$E$6:$E$169,'04_Datos_Mensuales'!$E$6:$E$169)*12</f>
        <v/>
      </c>
      <c r="F17" s="39">
        <f>_xlfn.COVARIANCE.S('04_Datos_Mensuales'!$E$6:$E$169,'04_Datos_Mensuales'!$F$6:$F$169)*12</f>
        <v/>
      </c>
      <c r="G17" s="39">
        <f>_xlfn.COVARIANCE.S('04_Datos_Mensuales'!$E$6:$E$169,'04_Datos_Mensuales'!$G$6:$G$169)*12</f>
        <v/>
      </c>
      <c r="H17" s="39">
        <f>_xlfn.COVARIANCE.S('04_Datos_Mensuales'!$E$6:$E$169,'04_Datos_Mensuales'!$H$6:$H$169)*12</f>
        <v/>
      </c>
    </row>
    <row r="18">
      <c r="B18" s="6" t="inlineStr">
        <is>
          <t>Momentum en commodities</t>
        </is>
      </c>
      <c r="C18" s="39">
        <f>_xlfn.COVARIANCE.S('04_Datos_Mensuales'!$F$6:$F$169,'04_Datos_Mensuales'!$C$6:$C$169)*12</f>
        <v/>
      </c>
      <c r="D18" s="39">
        <f>_xlfn.COVARIANCE.S('04_Datos_Mensuales'!$F$6:$F$169,'04_Datos_Mensuales'!$D$6:$D$169)*12</f>
        <v/>
      </c>
      <c r="E18" s="39">
        <f>_xlfn.COVARIANCE.S('04_Datos_Mensuales'!$F$6:$F$169,'04_Datos_Mensuales'!$E$6:$E$169)*12</f>
        <v/>
      </c>
      <c r="F18" s="39">
        <f>_xlfn.COVARIANCE.S('04_Datos_Mensuales'!$F$6:$F$169,'04_Datos_Mensuales'!$F$6:$F$169)*12</f>
        <v/>
      </c>
      <c r="G18" s="39">
        <f>_xlfn.COVARIANCE.S('04_Datos_Mensuales'!$F$6:$F$169,'04_Datos_Mensuales'!$G$6:$G$169)*12</f>
        <v/>
      </c>
      <c r="H18" s="39">
        <f>_xlfn.COVARIANCE.S('04_Datos_Mensuales'!$F$6:$F$169,'04_Datos_Mensuales'!$H$6:$H$169)*12</f>
        <v/>
      </c>
    </row>
    <row r="19">
      <c r="B19" s="6" t="inlineStr">
        <is>
          <t>Momentum en acciones</t>
        </is>
      </c>
      <c r="C19" s="39">
        <f>_xlfn.COVARIANCE.S('04_Datos_Mensuales'!$G$6:$G$169,'04_Datos_Mensuales'!$C$6:$C$169)*12</f>
        <v/>
      </c>
      <c r="D19" s="39">
        <f>_xlfn.COVARIANCE.S('04_Datos_Mensuales'!$G$6:$G$169,'04_Datos_Mensuales'!$D$6:$D$169)*12</f>
        <v/>
      </c>
      <c r="E19" s="39">
        <f>_xlfn.COVARIANCE.S('04_Datos_Mensuales'!$G$6:$G$169,'04_Datos_Mensuales'!$E$6:$E$169)*12</f>
        <v/>
      </c>
      <c r="F19" s="39">
        <f>_xlfn.COVARIANCE.S('04_Datos_Mensuales'!$G$6:$G$169,'04_Datos_Mensuales'!$F$6:$F$169)*12</f>
        <v/>
      </c>
      <c r="G19" s="39">
        <f>_xlfn.COVARIANCE.S('04_Datos_Mensuales'!$G$6:$G$169,'04_Datos_Mensuales'!$G$6:$G$169)*12</f>
        <v/>
      </c>
      <c r="H19" s="39">
        <f>_xlfn.COVARIANCE.S('04_Datos_Mensuales'!$G$6:$G$169,'04_Datos_Mensuales'!$H$6:$H$169)*12</f>
        <v/>
      </c>
    </row>
    <row r="20">
      <c r="B20" s="6" t="inlineStr">
        <is>
          <t>Low-Volatility</t>
        </is>
      </c>
      <c r="C20" s="39">
        <f>_xlfn.COVARIANCE.S('04_Datos_Mensuales'!$H$6:$H$169,'04_Datos_Mensuales'!$C$6:$C$169)*12</f>
        <v/>
      </c>
      <c r="D20" s="39">
        <f>_xlfn.COVARIANCE.S('04_Datos_Mensuales'!$H$6:$H$169,'04_Datos_Mensuales'!$D$6:$D$169)*12</f>
        <v/>
      </c>
      <c r="E20" s="39">
        <f>_xlfn.COVARIANCE.S('04_Datos_Mensuales'!$H$6:$H$169,'04_Datos_Mensuales'!$E$6:$E$169)*12</f>
        <v/>
      </c>
      <c r="F20" s="39">
        <f>_xlfn.COVARIANCE.S('04_Datos_Mensuales'!$H$6:$H$169,'04_Datos_Mensuales'!$F$6:$F$169)*12</f>
        <v/>
      </c>
      <c r="G20" s="39">
        <f>_xlfn.COVARIANCE.S('04_Datos_Mensuales'!$H$6:$H$169,'04_Datos_Mensuales'!$G$6:$G$169)*12</f>
        <v/>
      </c>
      <c r="H20" s="39">
        <f>_xlfn.COVARIANCE.S('04_Datos_Mensuales'!$H$6:$H$169,'04_Datos_Mensuales'!$H$6:$H$169)*12</f>
        <v/>
      </c>
    </row>
    <row r="23">
      <c r="B23" s="25" t="inlineStr">
        <is>
          <t>Cartera Markowitz</t>
        </is>
      </c>
    </row>
    <row r="24">
      <c r="B24" s="6" t="inlineStr">
        <is>
          <t>Retorno anual</t>
        </is>
      </c>
      <c r="C24" s="40">
        <f t="array" ref="C24">SUMPRODUCT(E6:E11,C6:C11)</f>
        <v/>
      </c>
    </row>
    <row r="25">
      <c r="B25" s="6" t="inlineStr">
        <is>
          <t>Volatilidad anual</t>
        </is>
      </c>
      <c r="C25" s="40">
        <f t="array" ref="C25">SQRT(MMULT(TRANSPOSE(E6:E11),MMULT(C15:H20,E6:E11)))</f>
        <v/>
      </c>
    </row>
    <row r="26">
      <c r="B26" s="6" t="inlineStr">
        <is>
          <t>Sharpe (rf = 0, misma convención del optimizador)</t>
        </is>
      </c>
      <c r="C26" s="41">
        <f>C24/C25</f>
        <v/>
      </c>
    </row>
    <row r="27">
      <c r="B27" s="25" t="inlineStr">
        <is>
          <t>Cartera Pesos aprobados</t>
        </is>
      </c>
    </row>
    <row r="28">
      <c r="B28" s="6" t="inlineStr">
        <is>
          <t>Retorno anual</t>
        </is>
      </c>
      <c r="C28" s="40">
        <f t="array" ref="C28">SUMPRODUCT(F6:F11,C6:C11)</f>
        <v/>
      </c>
    </row>
    <row r="29">
      <c r="B29" s="6" t="inlineStr">
        <is>
          <t>Volatilidad anual</t>
        </is>
      </c>
      <c r="C29" s="40">
        <f t="array" ref="C29">SQRT(MMULT(TRANSPOSE(F6:F11),MMULT(C15:H20,F6:F11)))</f>
        <v/>
      </c>
    </row>
    <row r="30">
      <c r="B30" s="6" t="inlineStr">
        <is>
          <t>Sharpe (rf = 0, misma convención del optimizador)</t>
        </is>
      </c>
      <c r="C30" s="41">
        <f>C28/C29</f>
        <v/>
      </c>
    </row>
    <row r="32">
      <c r="B32" s="15" t="inlineStr">
        <is>
          <t>Restricciones: suma = 100%; núcleo (SPY+TLH+VCLT) entre 60% y 70%; TLH y VCLT ≥ 8%; sin ventas cortas.</t>
        </is>
      </c>
    </row>
    <row r="33">
      <c r="B33" s="6" t="inlineStr">
        <is>
          <t>Chequeo núcleo Markowitz</t>
        </is>
      </c>
      <c r="C33" s="42">
        <f>IF(AND(SUM(E6:E8)&gt;=0.6-1E-6,SUM(E6:E8)&lt;=0.7+1E-6,ABS(SUM(E6:E11)-1)&lt;1E-6),"OK","REVISAR")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6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50" customWidth="1" min="11" max="11"/>
  </cols>
  <sheetData>
    <row r="2">
      <c r="B2" s="1" t="inlineStr">
        <is>
          <t>Black-Litterman: equilibrio + vistas → retornos esperados y cartera recomendada</t>
        </is>
      </c>
    </row>
    <row r="3">
      <c r="B3" s="2" t="inlineStr">
        <is>
          <t>π = δ·Σ·w_eq ; μ_BL = [(τΣ)⁻¹ + PᵀΩ⁻¹P]⁻¹ [(τΣ)⁻¹π + PᵀΩ⁻¹Q] ; Ω = diag(P·τΣ·Pᵀ). Fórmulas matriciales vivas.</t>
        </is>
      </c>
    </row>
    <row r="5">
      <c r="B5" s="4" t="inlineStr">
        <is>
          <t>Activo</t>
        </is>
      </c>
      <c r="C5" s="4" t="inlineStr">
        <is>
          <t>Volatilidad</t>
        </is>
      </c>
      <c r="D5" s="4" t="inlineStr">
        <is>
          <t>Prior w_eq (1/vol normalizado)</t>
        </is>
      </c>
      <c r="E5" s="4" t="inlineStr">
        <is>
          <t>π implícito</t>
        </is>
      </c>
      <c r="F5" s="4" t="inlineStr">
        <is>
          <t>μ Black-Litterman</t>
        </is>
      </c>
      <c r="G5" s="4" t="inlineStr">
        <is>
          <t>Peso BL recalibrado (SLSQP)</t>
        </is>
      </c>
      <c r="H5" s="4" t="inlineStr">
        <is>
          <t>Peso aprobado</t>
        </is>
      </c>
      <c r="I5" s="4" t="inlineStr">
        <is>
          <t>Diferencia (pp)</t>
        </is>
      </c>
    </row>
    <row r="6">
      <c r="B6" s="6" t="inlineStr">
        <is>
          <t>S&amp;P 500 (SPY)</t>
        </is>
      </c>
      <c r="C6" s="43">
        <f>'05_Markowitz'!D6</f>
        <v/>
      </c>
      <c r="D6" s="38">
        <f>(1/C6)/SUMPRODUCT(1/$C$6:$C$11)</f>
        <v/>
      </c>
      <c r="E6" s="38">
        <f t="array" ref="E6:E11">'01_Supuestos'!$D$29*MMULT('05_Markowitz'!$C$15:$H$20,D6:D11)</f>
        <v/>
      </c>
      <c r="F6" s="44">
        <f>C31</f>
        <v/>
      </c>
      <c r="G6" s="27" t="n">
        <v>0.3726882915219751</v>
      </c>
      <c r="H6" s="43">
        <f>'05_Markowitz'!F6</f>
        <v/>
      </c>
      <c r="I6" s="41">
        <f>(G6-H6)*100</f>
        <v/>
      </c>
    </row>
    <row r="7">
      <c r="B7" s="6" t="inlineStr">
        <is>
          <t>Tesoro EE.UU. 10-20 años (TLH)</t>
        </is>
      </c>
      <c r="C7" s="43">
        <f>'05_Markowitz'!D7</f>
        <v/>
      </c>
      <c r="D7" s="38">
        <f>(1/C7)/SUMPRODUCT(1/$C$6:$C$11)</f>
        <v/>
      </c>
      <c r="E7" s="38" t="n"/>
      <c r="F7" s="44">
        <f>C32</f>
        <v/>
      </c>
      <c r="G7" s="27" t="n">
        <v>0.1708902619220309</v>
      </c>
      <c r="H7" s="43">
        <f>'05_Markowitz'!F7</f>
        <v/>
      </c>
      <c r="I7" s="41">
        <f>(G7-H7)*100</f>
        <v/>
      </c>
    </row>
    <row r="8">
      <c r="B8" s="6" t="inlineStr">
        <is>
          <t>Corporativos largo plazo (VCLT)</t>
        </is>
      </c>
      <c r="C8" s="43">
        <f>'05_Markowitz'!D8</f>
        <v/>
      </c>
      <c r="D8" s="38">
        <f>(1/C8)/SUMPRODUCT(1/$C$6:$C$11)</f>
        <v/>
      </c>
      <c r="E8" s="38" t="n"/>
      <c r="F8" s="44">
        <f>C33</f>
        <v/>
      </c>
      <c r="G8" s="27" t="n">
        <v>0.1484279861138483</v>
      </c>
      <c r="H8" s="43">
        <f>'05_Markowitz'!F8</f>
        <v/>
      </c>
      <c r="I8" s="41">
        <f>(G8-H8)*100</f>
        <v/>
      </c>
    </row>
    <row r="9">
      <c r="B9" s="6" t="inlineStr">
        <is>
          <t>Momentum en commodities</t>
        </is>
      </c>
      <c r="C9" s="43">
        <f>'05_Markowitz'!D9</f>
        <v/>
      </c>
      <c r="D9" s="38">
        <f>(1/C9)/SUMPRODUCT(1/$C$6:$C$11)</f>
        <v/>
      </c>
      <c r="E9" s="38" t="n"/>
      <c r="F9" s="44">
        <f>C34</f>
        <v/>
      </c>
      <c r="G9" s="27" t="n">
        <v>0.06594458452445751</v>
      </c>
      <c r="H9" s="43">
        <f>'05_Markowitz'!F9</f>
        <v/>
      </c>
      <c r="I9" s="41">
        <f>(G9-H9)*100</f>
        <v/>
      </c>
    </row>
    <row r="10">
      <c r="B10" s="6" t="inlineStr">
        <is>
          <t>Momentum en acciones</t>
        </is>
      </c>
      <c r="C10" s="43">
        <f>'05_Markowitz'!D10</f>
        <v/>
      </c>
      <c r="D10" s="38">
        <f>(1/C10)/SUMPRODUCT(1/$C$6:$C$11)</f>
        <v/>
      </c>
      <c r="E10" s="38" t="n"/>
      <c r="F10" s="44">
        <f>C35</f>
        <v/>
      </c>
      <c r="G10" s="27" t="n">
        <v>0.07023125260231999</v>
      </c>
      <c r="H10" s="43">
        <f>'05_Markowitz'!F10</f>
        <v/>
      </c>
      <c r="I10" s="41">
        <f>(G10-H10)*100</f>
        <v/>
      </c>
    </row>
    <row r="11">
      <c r="B11" s="6" t="inlineStr">
        <is>
          <t>Low-Volatility</t>
        </is>
      </c>
      <c r="C11" s="43">
        <f>'05_Markowitz'!D11</f>
        <v/>
      </c>
      <c r="D11" s="38">
        <f>(1/C11)/SUMPRODUCT(1/$C$6:$C$11)</f>
        <v/>
      </c>
      <c r="E11" s="38" t="n"/>
      <c r="F11" s="44">
        <f>C36</f>
        <v/>
      </c>
      <c r="G11" s="27" t="n">
        <v>0.1718176233153682</v>
      </c>
      <c r="H11" s="43">
        <f>'05_Markowitz'!F11</f>
        <v/>
      </c>
      <c r="I11" s="41">
        <f>(G11-H11)*100</f>
        <v/>
      </c>
    </row>
    <row r="13">
      <c r="B13" s="25" t="inlineStr">
        <is>
          <t>Vistas del inversionista</t>
        </is>
      </c>
    </row>
    <row r="14">
      <c r="B14" s="4" t="inlineStr">
        <is>
          <t>Vista</t>
        </is>
      </c>
      <c r="C14" s="4" t="inlineStr">
        <is>
          <t>Tipo</t>
        </is>
      </c>
      <c r="D14" s="4" t="inlineStr">
        <is>
          <t>SPY</t>
        </is>
      </c>
      <c r="E14" s="4" t="inlineStr">
        <is>
          <t>TLH</t>
        </is>
      </c>
      <c r="F14" s="4" t="inlineStr">
        <is>
          <t>VCLT</t>
        </is>
      </c>
      <c r="G14" s="4" t="inlineStr">
        <is>
          <t>MOM_CMD</t>
        </is>
      </c>
      <c r="H14" s="4" t="inlineStr">
        <is>
          <t>MOM_EQ</t>
        </is>
      </c>
      <c r="I14" s="4" t="inlineStr">
        <is>
          <t>LOW_VOL</t>
        </is>
      </c>
      <c r="J14" s="4" t="inlineStr">
        <is>
          <t>Q (retorno)</t>
        </is>
      </c>
      <c r="K14" s="4" t="inlineStr">
        <is>
          <t>Fundamento</t>
        </is>
      </c>
    </row>
    <row r="15">
      <c r="B15" s="6" t="inlineStr">
        <is>
          <t>Vista 1</t>
        </is>
      </c>
      <c r="C15" s="6" t="inlineStr">
        <is>
          <t>Absoluta</t>
        </is>
      </c>
      <c r="D15" s="17" t="n">
        <v>1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6" t="n">
        <v>0.06</v>
      </c>
      <c r="K15" s="15" t="inlineStr">
        <is>
          <t>Prima por riesgo accionaria de largo plazo</t>
        </is>
      </c>
    </row>
    <row r="16">
      <c r="B16" s="6" t="inlineStr">
        <is>
          <t>Vista 2</t>
        </is>
      </c>
      <c r="C16" s="6" t="inlineStr">
        <is>
          <t>Relativa</t>
        </is>
      </c>
      <c r="D16" s="17" t="n">
        <v>0</v>
      </c>
      <c r="E16" s="17" t="n">
        <v>0</v>
      </c>
      <c r="F16" s="17" t="n">
        <v>0</v>
      </c>
      <c r="G16" s="17" t="n">
        <v>-1</v>
      </c>
      <c r="H16" s="17" t="n">
        <v>0</v>
      </c>
      <c r="I16" s="17" t="n">
        <v>1</v>
      </c>
      <c r="J16" s="16" t="n">
        <v>0.02</v>
      </c>
      <c r="K16" s="15" t="inlineStr">
        <is>
          <t>Low-Vol supera a commodities en 2 pp</t>
        </is>
      </c>
    </row>
    <row r="18">
      <c r="B18" s="6" t="inlineStr">
        <is>
          <t>τΣ</t>
        </is>
      </c>
    </row>
    <row r="19">
      <c r="C19" s="45">
        <f t="array" ref="C19:H24">'01_Supuestos'!$D$30*'05_Markowitz'!$C$15:$H$20</f>
        <v/>
      </c>
      <c r="D19" s="45" t="n"/>
      <c r="E19" s="45" t="n"/>
      <c r="F19" s="45" t="n"/>
      <c r="G19" s="45" t="n"/>
      <c r="H19" s="45" t="n"/>
    </row>
    <row r="20">
      <c r="C20" s="45" t="n"/>
      <c r="D20" s="45" t="n"/>
      <c r="E20" s="45" t="n"/>
      <c r="F20" s="45" t="n"/>
      <c r="G20" s="45" t="n"/>
      <c r="H20" s="45" t="n"/>
    </row>
    <row r="21">
      <c r="C21" s="45" t="n"/>
      <c r="D21" s="45" t="n"/>
      <c r="E21" s="45" t="n"/>
      <c r="F21" s="45" t="n"/>
      <c r="G21" s="45" t="n"/>
      <c r="H21" s="45" t="n"/>
    </row>
    <row r="22">
      <c r="C22" s="45" t="n"/>
      <c r="D22" s="45" t="n"/>
      <c r="E22" s="45" t="n"/>
      <c r="F22" s="45" t="n"/>
      <c r="G22" s="45" t="n"/>
      <c r="H22" s="45" t="n"/>
    </row>
    <row r="23">
      <c r="C23" s="45" t="n"/>
      <c r="D23" s="45" t="n"/>
      <c r="E23" s="45" t="n"/>
      <c r="F23" s="45" t="n"/>
      <c r="G23" s="45" t="n"/>
      <c r="H23" s="45" t="n"/>
    </row>
    <row r="24">
      <c r="C24" s="45" t="n"/>
      <c r="D24" s="45" t="n"/>
      <c r="E24" s="45" t="n"/>
      <c r="F24" s="45" t="n"/>
      <c r="G24" s="45" t="n"/>
      <c r="H24" s="45" t="n"/>
    </row>
    <row r="26">
      <c r="B26" s="6" t="inlineStr">
        <is>
          <t>Ω (diagonal)</t>
        </is>
      </c>
    </row>
    <row r="27">
      <c r="C27">
        <f t="array" ref="C27:D28">MMULT(D15:I16,MMULT(C19:H24,TRANSPOSE(D15:I16)))*{1,0;0,1}</f>
        <v/>
      </c>
    </row>
    <row r="30">
      <c r="B30" s="6" t="inlineStr">
        <is>
          <t>μ_BL calculado</t>
        </is>
      </c>
    </row>
    <row r="31">
      <c r="B31" t="inlineStr">
        <is>
          <t>S&amp;P 500 (SPY)</t>
        </is>
      </c>
      <c r="C31" s="40">
        <f t="array" ref="C31:C36">MMULT(MINVERSE(MINVERSE(C19:H24)+MMULT(TRANSPOSE(D15:I16),MMULT(MINVERSE(C27:D28),D15:I16))),MMULT(MINVERSE(C19:H24),E6:E11)+MMULT(TRANSPOSE(D15:I16),MMULT(MINVERSE(C27:D28),J15:J16)))</f>
        <v/>
      </c>
    </row>
    <row r="32">
      <c r="B32" t="inlineStr">
        <is>
          <t>Tesoro EE.UU. 10-20 años (TLH)</t>
        </is>
      </c>
      <c r="C32" s="40" t="n"/>
    </row>
    <row r="33">
      <c r="B33" t="inlineStr">
        <is>
          <t>Corporativos largo plazo (VCLT)</t>
        </is>
      </c>
      <c r="C33" s="40" t="n"/>
    </row>
    <row r="34">
      <c r="B34" t="inlineStr">
        <is>
          <t>Momentum en commodities</t>
        </is>
      </c>
      <c r="C34" s="40" t="n"/>
    </row>
    <row r="35">
      <c r="B35" t="inlineStr">
        <is>
          <t>Momentum en acciones</t>
        </is>
      </c>
      <c r="C35" s="40" t="n"/>
    </row>
    <row r="36">
      <c r="B36" t="inlineStr">
        <is>
          <t>Low-Volatility</t>
        </is>
      </c>
      <c r="C36" s="40" t="n"/>
    </row>
    <row r="39">
      <c r="B39" s="25" t="inlineStr">
        <is>
          <t>Cartera recomendada (pesos aprobados)</t>
        </is>
      </c>
    </row>
    <row r="40">
      <c r="B40" s="6" t="inlineStr">
        <is>
          <t>Retorno esperado (μ_BL)</t>
        </is>
      </c>
      <c r="C40" s="40">
        <f t="array" ref="C40">SUMPRODUCT(H6:H11,F6:F11)</f>
        <v/>
      </c>
    </row>
    <row r="41">
      <c r="B41" s="6" t="inlineStr">
        <is>
          <t>Volatilidad</t>
        </is>
      </c>
      <c r="C41" s="43">
        <f>'05_Markowitz'!C29</f>
        <v/>
      </c>
    </row>
    <row r="42">
      <c r="B42" s="6" t="inlineStr">
        <is>
          <t>Sharpe sobre μ_BL</t>
        </is>
      </c>
      <c r="C42" s="41">
        <f>C40/C41</f>
        <v/>
      </c>
    </row>
    <row r="43">
      <c r="B43" s="6" t="inlineStr">
        <is>
          <t>Núcleo pasivo (SPY+TLH+VCLT)</t>
        </is>
      </c>
      <c r="C43" s="22">
        <f>SUM(H6:H8)</f>
        <v/>
      </c>
    </row>
    <row r="44">
      <c r="B44" s="6" t="inlineStr">
        <is>
          <t>Chequeo: Σ pesos = 100%</t>
        </is>
      </c>
      <c r="C44" s="42">
        <f>IF(ABS(SUM(H6:H11)-1)&lt;0.0005,"OK","REVISAR")</f>
        <v/>
      </c>
    </row>
    <row r="46">
      <c r="B46" s="15" t="inlineStr">
        <is>
          <t>Lectura: los pesos recalibrados con los datos corregidos difieren en menos de 0,7 pp de los aprobados (dentro de la banda de rebalanceo de ±2 pp): se mantienen los pesos aprobados, que ya están implementados.</t>
        </is>
      </c>
    </row>
    <row r="48">
      <c r="B48" s="25" t="inlineStr">
        <is>
          <t>Aversión al riesgo</t>
        </is>
      </c>
    </row>
    <row r="49">
      <c r="B49" s="4" t="inlineStr">
        <is>
          <t>Concepto</t>
        </is>
      </c>
      <c r="C49" s="4" t="inlineStr">
        <is>
          <t>Valor</t>
        </is>
      </c>
    </row>
    <row r="50">
      <c r="B50" s="26" t="inlineStr">
        <is>
          <t>A del inversionista de mercado (S&amp;P 500, 2013-2026)</t>
        </is>
      </c>
      <c r="C50" s="35" t="n">
        <v>6.678902250722984</v>
      </c>
    </row>
    <row r="51">
      <c r="B51" s="26" t="inlineStr">
        <is>
          <t>A implícito de la cartera BL (μ_BL / σ²)</t>
        </is>
      </c>
      <c r="C51" s="35" t="n">
        <v>3.335813990740384</v>
      </c>
    </row>
    <row r="52">
      <c r="B52" s="26" t="inlineStr">
        <is>
          <t>δ usado en Black-Litterman</t>
        </is>
      </c>
      <c r="C52" s="35" t="n">
        <v>2.5</v>
      </c>
    </row>
    <row r="54">
      <c r="B54" s="25" t="inlineStr">
        <is>
          <t>Contribución al riesgo (pesos aprobados): w_i·(Σw)_i / w'Σw</t>
        </is>
      </c>
    </row>
    <row r="55">
      <c r="B55" s="46" t="inlineStr">
        <is>
          <t>Activo</t>
        </is>
      </c>
      <c r="C55" s="46" t="inlineStr">
        <is>
          <t>Peso</t>
        </is>
      </c>
      <c r="D55" s="46" t="inlineStr">
        <is>
          <t>Contribución marginal (Σw)_i</t>
        </is>
      </c>
      <c r="E55" s="46" t="inlineStr">
        <is>
          <t>Contribución al riesgo (%)</t>
        </is>
      </c>
    </row>
    <row r="56">
      <c r="B56" s="6" t="inlineStr">
        <is>
          <t>S&amp;P 500 (SPY)</t>
        </is>
      </c>
      <c r="C56" s="43">
        <f>'05_Markowitz'!F6</f>
        <v/>
      </c>
      <c r="D56" s="47">
        <f t="array" ref="D56:D61">MMULT('05_Markowitz'!C15:H20,'05_Markowitz'!F6:F11)</f>
        <v/>
      </c>
      <c r="E56" s="22">
        <f>C56*D56/SUMPRODUCT($C$56:$C$61,$D$56:$D$61)</f>
        <v/>
      </c>
    </row>
    <row r="57">
      <c r="B57" s="6" t="inlineStr">
        <is>
          <t>Tesoro EE.UU. 10-20 años (TLH)</t>
        </is>
      </c>
      <c r="C57" s="43">
        <f>'05_Markowitz'!F7</f>
        <v/>
      </c>
      <c r="D57" s="47" t="n"/>
      <c r="E57" s="22">
        <f>C57*D57/SUMPRODUCT($C$56:$C$61,$D$56:$D$61)</f>
        <v/>
      </c>
    </row>
    <row r="58">
      <c r="B58" s="6" t="inlineStr">
        <is>
          <t>Corporativos largo plazo (VCLT)</t>
        </is>
      </c>
      <c r="C58" s="43">
        <f>'05_Markowitz'!F8</f>
        <v/>
      </c>
      <c r="D58" s="47" t="n"/>
      <c r="E58" s="22">
        <f>C58*D58/SUMPRODUCT($C$56:$C$61,$D$56:$D$61)</f>
        <v/>
      </c>
    </row>
    <row r="59">
      <c r="B59" s="6" t="inlineStr">
        <is>
          <t>Momentum en commodities</t>
        </is>
      </c>
      <c r="C59" s="43">
        <f>'05_Markowitz'!F9</f>
        <v/>
      </c>
      <c r="D59" s="47" t="n"/>
      <c r="E59" s="22">
        <f>C59*D59/SUMPRODUCT($C$56:$C$61,$D$56:$D$61)</f>
        <v/>
      </c>
    </row>
    <row r="60">
      <c r="B60" s="6" t="inlineStr">
        <is>
          <t>Momentum en acciones</t>
        </is>
      </c>
      <c r="C60" s="43">
        <f>'05_Markowitz'!F10</f>
        <v/>
      </c>
      <c r="D60" s="47" t="n"/>
      <c r="E60" s="22">
        <f>C60*D60/SUMPRODUCT($C$56:$C$61,$D$56:$D$61)</f>
        <v/>
      </c>
    </row>
    <row r="61">
      <c r="B61" s="6" t="inlineStr">
        <is>
          <t>Low-Volatility</t>
        </is>
      </c>
      <c r="C61" s="43">
        <f>'05_Markowitz'!F11</f>
        <v/>
      </c>
      <c r="D61" s="47" t="n"/>
      <c r="E61" s="22">
        <f>C61*D61/SUMPRODUCT($C$56:$C$61,$D$56:$D$61)</f>
        <v/>
      </c>
    </row>
    <row r="62">
      <c r="B62" s="6" t="inlineStr">
        <is>
          <t>Total</t>
        </is>
      </c>
      <c r="E62" s="22">
        <f>SUM(E56:E61)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P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30" customWidth="1" min="3" max="3"/>
    <col width="4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2">
      <c r="B2" s="1" t="inlineStr">
        <is>
          <t>Benchmark de política, métricas y tracking error</t>
        </is>
      </c>
    </row>
    <row r="3">
      <c r="B3" s="2" t="inlineStr">
        <is>
          <t>Benchmark compuesto en USD, ponderado por los pesos aprobados; cada sleeve contra un índice invertible de su mismo universo.</t>
        </is>
      </c>
    </row>
    <row r="5">
      <c r="B5" s="4" t="inlineStr">
        <is>
          <t>Sleeve</t>
        </is>
      </c>
      <c r="C5" s="4" t="inlineStr">
        <is>
          <t>Peso</t>
        </is>
      </c>
      <c r="D5" s="4" t="inlineStr">
        <is>
          <t>Benchmark</t>
        </is>
      </c>
    </row>
    <row r="6">
      <c r="B6" s="6" t="inlineStr">
        <is>
          <t>S&amp;P 500 (SPY)</t>
        </is>
      </c>
      <c r="C6" s="48" t="n">
        <v>0.3789</v>
      </c>
      <c r="D6" s="6" t="inlineStr">
        <is>
          <t>S&amp;P 500 (SPY)</t>
        </is>
      </c>
    </row>
    <row r="7">
      <c r="B7" s="6" t="inlineStr">
        <is>
          <t>Tesoro EE.UU. 10-20 años (TLH)</t>
        </is>
      </c>
      <c r="C7" s="48" t="n">
        <v>0.1687</v>
      </c>
      <c r="D7" s="6" t="inlineStr">
        <is>
          <t>ICE U.S. Treasury 10-20 Year (TLH)</t>
        </is>
      </c>
    </row>
    <row r="8">
      <c r="B8" s="6" t="inlineStr">
        <is>
          <t>Corporativos largo plazo (VCLT)</t>
        </is>
      </c>
      <c r="C8" s="48" t="n">
        <v>0.146</v>
      </c>
      <c r="D8" s="6" t="inlineStr">
        <is>
          <t>Bloomberg U.S. Long Corporate (VCLT)</t>
        </is>
      </c>
    </row>
    <row r="9">
      <c r="B9" s="6" t="inlineStr">
        <is>
          <t>Momentum en commodities</t>
        </is>
      </c>
      <c r="C9" s="48" t="n">
        <v>0.0611</v>
      </c>
      <c r="D9" s="6" t="inlineStr">
        <is>
          <t>Bloomberg Commodity Index Total Return (DJP)</t>
        </is>
      </c>
    </row>
    <row r="10">
      <c r="B10" s="6" t="inlineStr">
        <is>
          <t>Momentum en acciones</t>
        </is>
      </c>
      <c r="C10" s="48" t="n">
        <v>0.0706</v>
      </c>
      <c r="D10" s="6" t="inlineStr">
        <is>
          <t>Alpha Architect U.S. Quantitative Momentum (QMOM)</t>
        </is>
      </c>
    </row>
    <row r="11">
      <c r="B11" s="6" t="inlineStr">
        <is>
          <t>Low-Volatility</t>
        </is>
      </c>
      <c r="C11" s="48" t="n">
        <v>0.1746</v>
      </c>
      <c r="D11" s="6" t="inlineStr">
        <is>
          <t>S&amp;P 500 Low Volatility Index (SPLV)</t>
        </is>
      </c>
    </row>
    <row r="13">
      <c r="B13" s="25" t="inlineStr">
        <is>
          <t>Métricas (USD nominal; Sharpe vs T-Bills)</t>
        </is>
      </c>
    </row>
    <row r="14">
      <c r="B14" s="4" t="inlineStr">
        <is>
          <t>Período</t>
        </is>
      </c>
      <c r="C14" s="4" t="inlineStr">
        <is>
          <t>Serie</t>
        </is>
      </c>
      <c r="D14" s="4" t="inlineStr">
        <is>
          <t>CAGR</t>
        </is>
      </c>
      <c r="E14" s="4" t="inlineStr">
        <is>
          <t>Volatilidad</t>
        </is>
      </c>
      <c r="F14" s="4" t="inlineStr">
        <is>
          <t>Sharpe</t>
        </is>
      </c>
      <c r="G14" s="4" t="inlineStr">
        <is>
          <t>Sortino</t>
        </is>
      </c>
      <c r="H14" s="4" t="inlineStr">
        <is>
          <t>Treynor</t>
        </is>
      </c>
      <c r="I14" s="4" t="inlineStr">
        <is>
          <t>Beta</t>
        </is>
      </c>
      <c r="J14" s="4" t="inlineStr">
        <is>
          <t>Alfa CAPM</t>
        </is>
      </c>
      <c r="K14" s="4" t="inlineStr">
        <is>
          <t>Máx. caída</t>
        </is>
      </c>
      <c r="L14" s="4" t="inlineStr">
        <is>
          <t>Calmar</t>
        </is>
      </c>
      <c r="M14" s="4" t="inlineStr">
        <is>
          <t>VaR 95% mensual</t>
        </is>
      </c>
      <c r="N14" s="4" t="inlineStr">
        <is>
          <t>CVaR 95% mensual</t>
        </is>
      </c>
      <c r="O14" s="4" t="inlineStr">
        <is>
          <t>Tracking error</t>
        </is>
      </c>
      <c r="P14" s="4" t="inlineStr">
        <is>
          <t>Information ratio</t>
        </is>
      </c>
    </row>
    <row r="15">
      <c r="B15" s="26" t="inlineStr">
        <is>
          <t>2016-2026</t>
        </is>
      </c>
      <c r="C15" s="26" t="inlineStr">
        <is>
          <t>Cartera Nexum</t>
        </is>
      </c>
      <c r="D15" s="27" t="n">
        <v>0.09902225078521676</v>
      </c>
      <c r="E15" s="27" t="n">
        <v>0.1064413910648502</v>
      </c>
      <c r="F15" s="35" t="n">
        <v>0.7449951672535712</v>
      </c>
      <c r="G15" s="35" t="n">
        <v>0.6374582321489426</v>
      </c>
      <c r="H15" s="35" t="n">
        <v>0.1227421121469742</v>
      </c>
      <c r="I15" s="35" t="n">
        <v>0.6460563579361195</v>
      </c>
      <c r="J15" s="27" t="n">
        <v>-0.005674736079358512</v>
      </c>
      <c r="K15" s="27" t="n">
        <v>-0.2047527980997257</v>
      </c>
      <c r="L15" s="35" t="n">
        <v>0.4836185473616217</v>
      </c>
      <c r="M15" s="27" t="n">
        <v>0.04596801654528315</v>
      </c>
      <c r="N15" s="27" t="n">
        <v>0.06201767555410809</v>
      </c>
      <c r="O15" s="27" t="n">
        <v>0.02062994851390809</v>
      </c>
      <c r="P15" s="35" t="n">
        <v>0.2713880638250771</v>
      </c>
    </row>
    <row r="16">
      <c r="B16" s="26" t="inlineStr">
        <is>
          <t>2016-2026</t>
        </is>
      </c>
      <c r="C16" s="26" t="inlineStr">
        <is>
          <t>Benchmark de política</t>
        </is>
      </c>
      <c r="D16" s="27" t="n">
        <v>0.09267204755497915</v>
      </c>
      <c r="E16" s="27" t="n">
        <v>0.1086374276463029</v>
      </c>
      <c r="F16" s="35" t="n">
        <v>0.6783997168545667</v>
      </c>
      <c r="G16" s="35" t="n">
        <v>0.575277632619389</v>
      </c>
      <c r="H16" s="35" t="n">
        <v>0.108957632437998</v>
      </c>
      <c r="I16" s="35" t="n">
        <v>0.6764060351347934</v>
      </c>
      <c r="J16" s="27" t="n">
        <v>-0.01526522243585199</v>
      </c>
      <c r="K16" s="27" t="n">
        <v>-0.2032541931862171</v>
      </c>
      <c r="L16" s="35" t="n">
        <v>0.4559416270938875</v>
      </c>
      <c r="M16" s="27" t="n">
        <v>0.04460239812706181</v>
      </c>
      <c r="N16" s="27" t="n">
        <v>0.06504077521155971</v>
      </c>
      <c r="O16" s="27" t="n">
        <v>0</v>
      </c>
      <c r="P16" s="35" t="n"/>
    </row>
    <row r="17">
      <c r="B17" s="26" t="inlineStr">
        <is>
          <t>2016-2026</t>
        </is>
      </c>
      <c r="C17" s="26" t="inlineStr">
        <is>
          <t>Cartera actual AGF 85/15</t>
        </is>
      </c>
      <c r="D17" s="27" t="n">
        <v>0.1265263686562654</v>
      </c>
      <c r="E17" s="27" t="n">
        <v>0.1291908520685071</v>
      </c>
      <c r="F17" s="35" t="n">
        <v>0.8274781709162494</v>
      </c>
      <c r="G17" s="35" t="n">
        <v>0.7285685372082674</v>
      </c>
      <c r="H17" s="35" t="n">
        <v>0.125270373768744</v>
      </c>
      <c r="I17" s="35" t="n">
        <v>0.8533750379487821</v>
      </c>
      <c r="J17" s="27" t="n">
        <v>-0.005338196456772769</v>
      </c>
      <c r="K17" s="27" t="n">
        <v>-0.2264699871632632</v>
      </c>
      <c r="L17" s="35" t="n">
        <v>0.5586893444077075</v>
      </c>
      <c r="M17" s="27" t="n">
        <v>0.0568698579485807</v>
      </c>
      <c r="N17" s="27" t="n">
        <v>0.07715960466699902</v>
      </c>
      <c r="O17" s="27" t="n">
        <v>0.04101089576373262</v>
      </c>
      <c r="P17" s="35" t="n">
        <v>0.809614352365897</v>
      </c>
    </row>
    <row r="18">
      <c r="B18" s="26" t="inlineStr">
        <is>
          <t>2016-2026</t>
        </is>
      </c>
      <c r="C18" s="26" t="inlineStr">
        <is>
          <t>S&amp;P 500 (SPY)</t>
        </is>
      </c>
      <c r="D18" s="27" t="n">
        <v>0.1508616343241553</v>
      </c>
      <c r="E18" s="27" t="n">
        <v>0.1508997864992488</v>
      </c>
      <c r="F18" s="35" t="n">
        <v>0.8716100272605122</v>
      </c>
      <c r="G18" s="35" t="n">
        <v>0.7808274949752967</v>
      </c>
      <c r="H18" s="35" t="n">
        <v>0.1315257670242157</v>
      </c>
      <c r="I18" s="35" t="n">
        <v>1</v>
      </c>
      <c r="J18" s="27" t="n">
        <v>-6.245004513516506e-17</v>
      </c>
      <c r="K18" s="27" t="n">
        <v>-0.2392718402314563</v>
      </c>
      <c r="L18" s="35" t="n">
        <v>0.6305030887806163</v>
      </c>
      <c r="M18" s="27" t="n">
        <v>0.06723775758087348</v>
      </c>
      <c r="N18" s="27" t="n">
        <v>0.08912357773632999</v>
      </c>
      <c r="O18" s="27" t="n">
        <v>0.06138645454050078</v>
      </c>
      <c r="P18" s="35" t="n">
        <v>0.9420020638429865</v>
      </c>
    </row>
    <row r="19">
      <c r="B19" s="26" t="inlineStr">
        <is>
          <t>2013-2026</t>
        </is>
      </c>
      <c r="C19" s="26" t="inlineStr">
        <is>
          <t>Cartera Nexum</t>
        </is>
      </c>
      <c r="D19" s="27" t="n">
        <v>0.09993360885041302</v>
      </c>
      <c r="E19" s="27" t="n">
        <v>0.0991301851502125</v>
      </c>
      <c r="F19" s="35" t="n">
        <v>0.8497646103824529</v>
      </c>
      <c r="G19" s="35" t="n">
        <v>0.7459041975308476</v>
      </c>
      <c r="H19" s="35" t="n">
        <v>0.1324344330844558</v>
      </c>
      <c r="I19" s="35" t="n">
        <v>0.6360681372614863</v>
      </c>
      <c r="J19" s="27" t="n">
        <v>-0.00155123175467823</v>
      </c>
      <c r="K19" s="27" t="n">
        <v>-0.2047527980997259</v>
      </c>
      <c r="L19" s="35" t="n">
        <v>0.4880695637758261</v>
      </c>
      <c r="M19" s="27" t="n">
        <v>0.0408643592652174</v>
      </c>
      <c r="N19" s="27" t="n">
        <v>0.05737006541806687</v>
      </c>
      <c r="O19" s="27" t="n"/>
      <c r="P19" s="35" t="n"/>
    </row>
    <row r="20">
      <c r="B20" s="26" t="inlineStr">
        <is>
          <t>2013-2026</t>
        </is>
      </c>
      <c r="C20" s="26" t="inlineStr">
        <is>
          <t>Cartera actual AGF 85/15</t>
        </is>
      </c>
      <c r="D20" s="27" t="n">
        <v>0.1220358386781133</v>
      </c>
      <c r="E20" s="27" t="n">
        <v>0.1232665583179495</v>
      </c>
      <c r="F20" s="35" t="n">
        <v>0.8626698771748084</v>
      </c>
      <c r="G20" s="35" t="n">
        <v>0.7829691760084525</v>
      </c>
      <c r="H20" s="35" t="n">
        <v>0.1246221305570584</v>
      </c>
      <c r="I20" s="35" t="n">
        <v>0.8532862201005281</v>
      </c>
      <c r="J20" s="27" t="n">
        <v>-0.004587848247321766</v>
      </c>
      <c r="K20" s="27" t="n">
        <v>-0.2264699871632635</v>
      </c>
      <c r="L20" s="35" t="n">
        <v>0.5388609775923066</v>
      </c>
      <c r="M20" s="27" t="n">
        <v>0.05112966737266835</v>
      </c>
      <c r="N20" s="27" t="n">
        <v>0.07422878240859347</v>
      </c>
      <c r="O20" s="27" t="n"/>
      <c r="P20" s="35" t="n"/>
    </row>
    <row r="21">
      <c r="B21" s="26" t="inlineStr">
        <is>
          <t>2013-2026</t>
        </is>
      </c>
      <c r="C21" s="26" t="inlineStr">
        <is>
          <t>S&amp;P 500 (SPY)</t>
        </is>
      </c>
      <c r="D21" s="27" t="n">
        <v>0.1506097499652157</v>
      </c>
      <c r="E21" s="27" t="n">
        <v>0.1421053118531352</v>
      </c>
      <c r="F21" s="35" t="n">
        <v>0.9491074871755962</v>
      </c>
      <c r="G21" s="35" t="n">
        <v>0.871481078171936</v>
      </c>
      <c r="H21" s="35" t="n">
        <v>0.1348732154472335</v>
      </c>
      <c r="I21" s="35" t="n">
        <v>1</v>
      </c>
      <c r="J21" s="27" t="n">
        <v>-2.081668171172169e-17</v>
      </c>
      <c r="K21" s="27" t="n">
        <v>-0.239271840231456</v>
      </c>
      <c r="L21" s="35" t="n">
        <v>0.6294503766909038</v>
      </c>
      <c r="M21" s="27" t="n">
        <v>0.06045193669071689</v>
      </c>
      <c r="N21" s="27" t="n">
        <v>0.08317631209795806</v>
      </c>
      <c r="O21" s="27" t="n"/>
      <c r="P21" s="35" t="n"/>
    </row>
    <row r="24">
      <c r="B24" s="25" t="inlineStr">
        <is>
          <t>Tracking error: derivación y situación actual</t>
        </is>
      </c>
    </row>
    <row r="25">
      <c r="B25" s="4" t="inlineStr">
        <is>
          <t>Concepto</t>
        </is>
      </c>
      <c r="C25" s="4" t="inlineStr">
        <is>
          <t>Valor</t>
        </is>
      </c>
    </row>
    <row r="26">
      <c r="B26" s="26" t="inlineStr">
        <is>
          <t>TE ex-ante, pesos aprobados (2016-2026)</t>
        </is>
      </c>
      <c r="C26" s="27" t="n">
        <v>0.02062994851390809</v>
      </c>
    </row>
    <row r="27">
      <c r="B27" s="26" t="inlineStr">
        <is>
          <t>TE últimos 36 meses</t>
        </is>
      </c>
      <c r="C27" s="27" t="n">
        <v>0.02483686049968294</v>
      </c>
    </row>
    <row r="28">
      <c r="B28" s="26" t="inlineStr">
        <is>
          <t>Alfa objetivo anual</t>
        </is>
      </c>
      <c r="C28" s="27" t="n">
        <v>0.015</v>
      </c>
    </row>
    <row r="29">
      <c r="B29" s="26" t="inlineStr">
        <is>
          <t>Information ratio objetivo</t>
        </is>
      </c>
      <c r="C29" s="27" t="n">
        <v>0.5</v>
      </c>
    </row>
    <row r="30">
      <c r="B30" s="26" t="inlineStr">
        <is>
          <t>TE objetivo = alfa / IR</t>
        </is>
      </c>
      <c r="C30" s="27" t="n">
        <v>0.03</v>
      </c>
    </row>
    <row r="31">
      <c r="B31" s="26" t="inlineStr">
        <is>
          <t>TE máximo (alfa 2% / IR 0,5)</t>
        </is>
      </c>
      <c r="C31" s="27" t="n">
        <v>0.04</v>
      </c>
    </row>
    <row r="32">
      <c r="B32" s="26" t="inlineStr">
        <is>
          <t>TE del sleeve S&amp;P 500 (SPY) vs su benchmark</t>
        </is>
      </c>
      <c r="C32" s="27" t="n">
        <v>0</v>
      </c>
    </row>
    <row r="33">
      <c r="B33" s="26" t="inlineStr">
        <is>
          <t>TE del sleeve Tesoro EE.UU. 10-20 años (TLH) vs su benchmark</t>
        </is>
      </c>
      <c r="C33" s="27" t="n">
        <v>0</v>
      </c>
    </row>
    <row r="34">
      <c r="B34" s="26" t="inlineStr">
        <is>
          <t>TE del sleeve Corporativos largo plazo (VCLT) vs su benchmark</t>
        </is>
      </c>
      <c r="C34" s="27" t="n">
        <v>0</v>
      </c>
    </row>
    <row r="35">
      <c r="B35" s="26" t="inlineStr">
        <is>
          <t>TE del sleeve Momentum en commodities vs su benchmark</t>
        </is>
      </c>
      <c r="C35" s="27" t="n">
        <v>0.1962564546614131</v>
      </c>
    </row>
    <row r="36">
      <c r="B36" s="26" t="inlineStr">
        <is>
          <t>TE del sleeve Momentum en acciones vs su benchmark</t>
        </is>
      </c>
      <c r="C36" s="27" t="n">
        <v>0.1897073484073088</v>
      </c>
    </row>
    <row r="37">
      <c r="B37" s="26" t="inlineStr">
        <is>
          <t>TE del sleeve Low-Volatility vs su benchmark</t>
        </is>
      </c>
      <c r="C37" s="27" t="n">
        <v>0.04432061829224001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Q9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2">
      <c r="B2" s="1" t="inlineStr">
        <is>
          <t>Montecarlo: probabilidad de cumplir los objetivos (20.000 escenarios, 50 años)</t>
        </is>
      </c>
    </row>
    <row r="3">
      <c r="B3" s="2" t="inlineStr">
        <is>
          <t>Bootstrap mensual. Prospectivo: misma volatilidad y correlaciones, medias ajustadas a supuestos de mercado. UF: tipo de cambio real sin tendencia, con su volatilidad y correlación histórica.</t>
        </is>
      </c>
    </row>
    <row r="5">
      <c r="B5" s="4" t="inlineStr">
        <is>
          <t>Cartera</t>
        </is>
      </c>
      <c r="C5" s="4" t="inlineStr">
        <is>
          <t>Escenario</t>
        </is>
      </c>
      <c r="D5" s="4" t="inlineStr">
        <is>
          <t>Moneda</t>
        </is>
      </c>
      <c r="E5" s="4" t="inlineStr">
        <is>
          <t>Retorno real anual</t>
        </is>
      </c>
      <c r="F5" s="4" t="inlineStr">
        <is>
          <t>P(Educación)</t>
        </is>
      </c>
      <c r="G5" s="4" t="inlineStr">
        <is>
          <t>P(Villarrica)</t>
        </is>
      </c>
      <c r="H5" s="4" t="inlineStr">
        <is>
          <t>P(Herencia)</t>
        </is>
      </c>
      <c r="I5" s="4" t="inlineStr">
        <is>
          <t>P(3 objetivos)</t>
        </is>
      </c>
      <c r="J5" s="4" t="inlineStr">
        <is>
          <t>Saldo año 25 P10</t>
        </is>
      </c>
      <c r="K5" s="4" t="inlineStr">
        <is>
          <t>Saldo año 25 P50</t>
        </is>
      </c>
      <c r="L5" s="4" t="inlineStr">
        <is>
          <t>Saldo año 25 P90</t>
        </is>
      </c>
      <c r="M5" s="4" t="inlineStr">
        <is>
          <t>Saldo año 50 P10</t>
        </is>
      </c>
      <c r="N5" s="4" t="inlineStr">
        <is>
          <t>Saldo año 50 P50</t>
        </is>
      </c>
      <c r="O5" s="4" t="inlineStr">
        <is>
          <t>Máx. caída mediana</t>
        </is>
      </c>
      <c r="P5" s="4" t="inlineStr">
        <is>
          <t>Máx. caída peor 5%</t>
        </is>
      </c>
      <c r="Q5" s="4" t="inlineStr">
        <is>
          <t>Unidad</t>
        </is>
      </c>
    </row>
    <row r="6">
      <c r="B6" s="26" t="inlineStr">
        <is>
          <t>Nexum</t>
        </is>
      </c>
      <c r="C6" s="26" t="inlineStr">
        <is>
          <t>Histórico 2013-2026</t>
        </is>
      </c>
      <c r="D6" s="26" t="inlineStr">
        <is>
          <t>USD</t>
        </is>
      </c>
      <c r="E6" s="49" t="n">
        <v>0.07836840437100046</v>
      </c>
      <c r="F6" s="49" t="n">
        <v>1</v>
      </c>
      <c r="G6" s="49" t="n">
        <v>0.9813499999999999</v>
      </c>
      <c r="H6" s="49" t="n">
        <v>0.95955</v>
      </c>
      <c r="I6" s="49" t="n">
        <v>0.95955</v>
      </c>
      <c r="J6" s="32" t="n">
        <v>707660.2760514553</v>
      </c>
      <c r="K6" s="32" t="n">
        <v>1320710.070178245</v>
      </c>
      <c r="L6" s="32" t="n">
        <v>2423866.063554092</v>
      </c>
      <c r="M6" s="32" t="n">
        <v>1311231.820282367</v>
      </c>
      <c r="N6" s="32" t="n">
        <v>5448079.025805857</v>
      </c>
      <c r="O6" s="49" t="n">
        <v>-0.2406223350606554</v>
      </c>
      <c r="P6" s="49" t="n">
        <v>-0.3619479873686908</v>
      </c>
      <c r="Q6" s="26" t="inlineStr">
        <is>
          <t>USD reales</t>
        </is>
      </c>
    </row>
    <row r="7">
      <c r="B7" s="26" t="inlineStr">
        <is>
          <t>Nexum</t>
        </is>
      </c>
      <c r="C7" s="26" t="inlineStr">
        <is>
          <t>Histórico 2013-2026</t>
        </is>
      </c>
      <c r="D7" s="26" t="inlineStr">
        <is>
          <t>UF</t>
        </is>
      </c>
      <c r="E7" s="49" t="n">
        <v>0.07836840437100046</v>
      </c>
      <c r="F7" s="49" t="n">
        <v>1</v>
      </c>
      <c r="G7" s="49" t="n">
        <v>0.9195</v>
      </c>
      <c r="H7" s="49" t="n">
        <v>0.89645</v>
      </c>
      <c r="I7" s="49" t="n">
        <v>0.89645</v>
      </c>
      <c r="J7" s="32" t="n">
        <v>11511.06466817651</v>
      </c>
      <c r="K7" s="32" t="n">
        <v>29755.27309501321</v>
      </c>
      <c r="L7" s="32" t="n">
        <v>69572.01019303667</v>
      </c>
      <c r="M7" s="32" t="n">
        <v>5546.055765554303</v>
      </c>
      <c r="N7" s="32" t="n">
        <v>119629.0907291305</v>
      </c>
      <c r="O7" s="49" t="n">
        <v>-0.2406223350606554</v>
      </c>
      <c r="P7" s="49" t="n">
        <v>-0.3619479873686908</v>
      </c>
      <c r="Q7" s="26" t="inlineStr">
        <is>
          <t>UF</t>
        </is>
      </c>
    </row>
    <row r="8">
      <c r="B8" s="26" t="inlineStr">
        <is>
          <t>Nexum</t>
        </is>
      </c>
      <c r="C8" s="26" t="inlineStr">
        <is>
          <t>Prospectivo</t>
        </is>
      </c>
      <c r="D8" s="26" t="inlineStr">
        <is>
          <t>USD</t>
        </is>
      </c>
      <c r="E8" s="49" t="n">
        <v>0.04578692298698361</v>
      </c>
      <c r="F8" s="49" t="n">
        <v>1</v>
      </c>
      <c r="G8" s="49" t="n">
        <v>0.713</v>
      </c>
      <c r="H8" s="49" t="n">
        <v>0.4653</v>
      </c>
      <c r="I8" s="49" t="n">
        <v>0.4653</v>
      </c>
      <c r="J8" s="32" t="n">
        <v>324301.0310000495</v>
      </c>
      <c r="K8" s="32" t="n">
        <v>617754.266084807</v>
      </c>
      <c r="L8" s="32" t="n">
        <v>1148464.697207463</v>
      </c>
      <c r="M8" s="32" t="n">
        <v>0</v>
      </c>
      <c r="N8" s="32" t="n">
        <v>414317.8806113914</v>
      </c>
      <c r="O8" s="49" t="n">
        <v>-0.3045510856693414</v>
      </c>
      <c r="P8" s="49" t="n">
        <v>-0.4664988539585534</v>
      </c>
      <c r="Q8" s="26" t="inlineStr">
        <is>
          <t>USD reales</t>
        </is>
      </c>
    </row>
    <row r="9">
      <c r="B9" s="26" t="inlineStr">
        <is>
          <t>Nexum</t>
        </is>
      </c>
      <c r="C9" s="26" t="inlineStr">
        <is>
          <t>Prospectivo</t>
        </is>
      </c>
      <c r="D9" s="26" t="inlineStr">
        <is>
          <t>UF</t>
        </is>
      </c>
      <c r="E9" s="49" t="n">
        <v>0.04578692298698361</v>
      </c>
      <c r="F9" s="49" t="n">
        <v>0.999</v>
      </c>
      <c r="G9" s="49" t="n">
        <v>0.6451</v>
      </c>
      <c r="H9" s="49" t="n">
        <v>0.4534</v>
      </c>
      <c r="I9" s="49" t="n">
        <v>0.4534</v>
      </c>
      <c r="J9" s="32" t="n">
        <v>4786.979755333447</v>
      </c>
      <c r="K9" s="32" t="n">
        <v>13913.69640272597</v>
      </c>
      <c r="L9" s="32" t="n">
        <v>34053.49835334183</v>
      </c>
      <c r="M9" s="32" t="n">
        <v>0</v>
      </c>
      <c r="N9" s="32" t="n">
        <v>9146.108812711893</v>
      </c>
      <c r="O9" s="49" t="n">
        <v>-0.3045510856693414</v>
      </c>
      <c r="P9" s="49" t="n">
        <v>-0.4664988539585534</v>
      </c>
      <c r="Q9" s="26" t="inlineStr">
        <is>
          <t>UF</t>
        </is>
      </c>
    </row>
    <row r="10">
      <c r="B10" s="26" t="inlineStr">
        <is>
          <t>AGF 85/15</t>
        </is>
      </c>
      <c r="C10" s="26" t="inlineStr">
        <is>
          <t>Histórico 2013-2026</t>
        </is>
      </c>
      <c r="D10" s="26" t="inlineStr">
        <is>
          <t>USD</t>
        </is>
      </c>
      <c r="E10" s="49" t="n">
        <v>0.1000351359589342</v>
      </c>
      <c r="F10" s="49" t="n">
        <v>1</v>
      </c>
      <c r="G10" s="49" t="n">
        <v>0.99285</v>
      </c>
      <c r="H10" s="49" t="n">
        <v>0.9881</v>
      </c>
      <c r="I10" s="49" t="n">
        <v>0.9881</v>
      </c>
      <c r="J10" s="32" t="n">
        <v>985598.0785106015</v>
      </c>
      <c r="K10" s="32" t="n">
        <v>2128040.078588705</v>
      </c>
      <c r="L10" s="32" t="n">
        <v>4548107.203573673</v>
      </c>
      <c r="M10" s="32" t="n">
        <v>4327838.052810505</v>
      </c>
      <c r="N10" s="32" t="n">
        <v>17614178.04023492</v>
      </c>
      <c r="O10" s="49" t="n">
        <v>-0.2865494609559071</v>
      </c>
      <c r="P10" s="49" t="n">
        <v>-0.4229171876989673</v>
      </c>
      <c r="Q10" s="26" t="inlineStr">
        <is>
          <t>USD reales</t>
        </is>
      </c>
    </row>
    <row r="11">
      <c r="B11" s="26" t="inlineStr">
        <is>
          <t>AGF 85/15</t>
        </is>
      </c>
      <c r="C11" s="26" t="inlineStr">
        <is>
          <t>Histórico 2013-2026</t>
        </is>
      </c>
      <c r="D11" s="26" t="inlineStr">
        <is>
          <t>UF</t>
        </is>
      </c>
      <c r="E11" s="49" t="n">
        <v>0.1000351359589342</v>
      </c>
      <c r="F11" s="49" t="n">
        <v>0.99995</v>
      </c>
      <c r="G11" s="49" t="n">
        <v>0.9695</v>
      </c>
      <c r="H11" s="49" t="n">
        <v>0.96355</v>
      </c>
      <c r="I11" s="49" t="n">
        <v>0.96355</v>
      </c>
      <c r="J11" s="32" t="n">
        <v>17134.39488097034</v>
      </c>
      <c r="K11" s="32" t="n">
        <v>44864.00368307917</v>
      </c>
      <c r="L11" s="32" t="n">
        <v>110168.8497949664</v>
      </c>
      <c r="M11" s="32" t="n">
        <v>51794.51285251522</v>
      </c>
      <c r="N11" s="32" t="n">
        <v>338927.8007449236</v>
      </c>
      <c r="O11" s="49" t="n">
        <v>-0.2865494609559071</v>
      </c>
      <c r="P11" s="49" t="n">
        <v>-0.4229171876989673</v>
      </c>
      <c r="Q11" s="26" t="inlineStr">
        <is>
          <t>UF</t>
        </is>
      </c>
    </row>
    <row r="12">
      <c r="B12" s="26" t="inlineStr">
        <is>
          <t>AGF 85/15</t>
        </is>
      </c>
      <c r="C12" s="26" t="inlineStr">
        <is>
          <t>Prospectivo</t>
        </is>
      </c>
      <c r="D12" s="26" t="inlineStr">
        <is>
          <t>USD</t>
        </is>
      </c>
      <c r="E12" s="49" t="n">
        <v>0.04377307858522794</v>
      </c>
      <c r="F12" s="49" t="n">
        <v>1</v>
      </c>
      <c r="G12" s="49" t="n">
        <v>0.6358</v>
      </c>
      <c r="H12" s="49" t="n">
        <v>0.4241</v>
      </c>
      <c r="I12" s="49" t="n">
        <v>0.4241</v>
      </c>
      <c r="J12" s="32" t="n">
        <v>257809.5440712415</v>
      </c>
      <c r="K12" s="32" t="n">
        <v>585445.8444769951</v>
      </c>
      <c r="L12" s="32" t="n">
        <v>1276154.774176262</v>
      </c>
      <c r="M12" s="32" t="n">
        <v>0</v>
      </c>
      <c r="N12" s="32" t="n">
        <v>290421.9734755454</v>
      </c>
      <c r="O12" s="49" t="n">
        <v>-0.3976538528503702</v>
      </c>
      <c r="P12" s="49" t="n">
        <v>-0.5975369674961123</v>
      </c>
      <c r="Q12" s="26" t="inlineStr">
        <is>
          <t>USD reales</t>
        </is>
      </c>
    </row>
    <row r="13">
      <c r="B13" s="26" t="inlineStr">
        <is>
          <t>AGF 85/15</t>
        </is>
      </c>
      <c r="C13" s="26" t="inlineStr">
        <is>
          <t>Prospectivo</t>
        </is>
      </c>
      <c r="D13" s="26" t="inlineStr">
        <is>
          <t>UF</t>
        </is>
      </c>
      <c r="E13" s="49" t="n">
        <v>0.04377307858522794</v>
      </c>
      <c r="F13" s="49" t="n">
        <v>0.9964</v>
      </c>
      <c r="G13" s="49" t="n">
        <v>0.5722</v>
      </c>
      <c r="H13" s="49" t="n">
        <v>0.3836</v>
      </c>
      <c r="I13" s="49" t="n">
        <v>0.3836</v>
      </c>
      <c r="J13" s="32" t="n">
        <v>3870.135257828575</v>
      </c>
      <c r="K13" s="32" t="n">
        <v>12262.79725752307</v>
      </c>
      <c r="L13" s="32" t="n">
        <v>32293.04431924006</v>
      </c>
      <c r="M13" s="32" t="n">
        <v>0</v>
      </c>
      <c r="N13" s="32" t="n">
        <v>3866.547472223303</v>
      </c>
      <c r="O13" s="49" t="n">
        <v>-0.3976538528503702</v>
      </c>
      <c r="P13" s="49" t="n">
        <v>-0.5975369674961123</v>
      </c>
      <c r="Q13" s="26" t="inlineStr">
        <is>
          <t>UF</t>
        </is>
      </c>
    </row>
    <row r="16">
      <c r="B16" s="25" t="inlineStr">
        <is>
          <t>Palancas acordables con el cliente (escenario prospectivo, USD)</t>
        </is>
      </c>
    </row>
    <row r="17">
      <c r="B17" s="4" t="inlineStr">
        <is>
          <t>Palanca (prospectivo, USD)</t>
        </is>
      </c>
      <c r="C17" s="4" t="inlineStr">
        <is>
          <t>P(Educación)</t>
        </is>
      </c>
      <c r="D17" s="4" t="inlineStr">
        <is>
          <t>P(Villarrica)</t>
        </is>
      </c>
      <c r="E17" s="4" t="inlineStr">
        <is>
          <t>P(Herencia)</t>
        </is>
      </c>
      <c r="F17" s="4" t="inlineStr">
        <is>
          <t>P(3 objetivos)</t>
        </is>
      </c>
    </row>
    <row r="18">
      <c r="B18" s="26" t="inlineStr">
        <is>
          <t>Base</t>
        </is>
      </c>
      <c r="C18" s="49" t="n">
        <v>1</v>
      </c>
      <c r="D18" s="49" t="n">
        <v>0.713</v>
      </c>
      <c r="E18" s="49" t="n">
        <v>0.4653</v>
      </c>
      <c r="F18" s="49" t="n">
        <v>0.4653</v>
      </c>
    </row>
    <row r="19">
      <c r="B19" s="26" t="inlineStr">
        <is>
          <t>Herencia USD 250 mil</t>
        </is>
      </c>
      <c r="C19" s="49" t="n">
        <v>1</v>
      </c>
      <c r="D19" s="49" t="n">
        <v>0.713</v>
      </c>
      <c r="E19" s="49" t="n">
        <v>0.5762</v>
      </c>
      <c r="F19" s="49" t="n">
        <v>0.5762</v>
      </c>
    </row>
    <row r="20">
      <c r="B20" s="26" t="inlineStr">
        <is>
          <t>Villarrica -25%</t>
        </is>
      </c>
      <c r="C20" s="49" t="n">
        <v>1</v>
      </c>
      <c r="D20" s="49" t="n">
        <v>0.8698</v>
      </c>
      <c r="E20" s="49" t="n">
        <v>0.6211</v>
      </c>
      <c r="F20" s="49" t="n">
        <v>0.6211</v>
      </c>
    </row>
    <row r="21">
      <c r="B21" s="26" t="inlineStr">
        <is>
          <t>Ambas</t>
        </is>
      </c>
      <c r="C21" s="49" t="n">
        <v>1</v>
      </c>
      <c r="D21" s="49" t="n">
        <v>0.8698</v>
      </c>
      <c r="E21" s="49" t="n">
        <v>0.7483</v>
      </c>
      <c r="F21" s="49" t="n">
        <v>0.7483</v>
      </c>
    </row>
    <row r="24">
      <c r="B24" s="25" t="inlineStr">
        <is>
          <t>Capital humano: desempleo de Tomás (los aportes se cortan mientras está desempleado)</t>
        </is>
      </c>
    </row>
    <row r="25">
      <c r="B25" s="4" t="inlineStr">
        <is>
          <t>Escenario de empleo</t>
        </is>
      </c>
      <c r="C25" s="4" t="inlineStr">
        <is>
          <t>Mercado</t>
        </is>
      </c>
      <c r="D25" s="4" t="inlineStr">
        <is>
          <t>P(Educación)</t>
        </is>
      </c>
      <c r="E25" s="4" t="inlineStr">
        <is>
          <t>P(Villarrica)</t>
        </is>
      </c>
      <c r="F25" s="4" t="inlineStr">
        <is>
          <t>P(Herencia)</t>
        </is>
      </c>
      <c r="G25" s="4" t="inlineStr">
        <is>
          <t>P(3 objetivos)</t>
        </is>
      </c>
    </row>
    <row r="26">
      <c r="B26" s="26" t="inlineStr">
        <is>
          <t>Sin desempleo (base)</t>
        </is>
      </c>
      <c r="C26" s="26" t="inlineStr">
        <is>
          <t>Histórico</t>
        </is>
      </c>
      <c r="D26" s="49" t="n">
        <v>1</v>
      </c>
      <c r="E26" s="49" t="n">
        <v>0.9813499999999999</v>
      </c>
      <c r="F26" s="49" t="n">
        <v>0.95955</v>
      </c>
      <c r="G26" s="49" t="n">
        <v>0.95955</v>
      </c>
    </row>
    <row r="27">
      <c r="B27" s="26" t="inlineStr">
        <is>
          <t>Sin desempleo (base)</t>
        </is>
      </c>
      <c r="C27" s="26" t="inlineStr">
        <is>
          <t>Prospectivo</t>
        </is>
      </c>
      <c r="D27" s="49" t="n">
        <v>1</v>
      </c>
      <c r="E27" s="49" t="n">
        <v>0.713</v>
      </c>
      <c r="F27" s="49" t="n">
        <v>0.4653</v>
      </c>
      <c r="G27" s="49" t="n">
        <v>0.4653</v>
      </c>
    </row>
    <row r="28">
      <c r="B28" s="26" t="inlineStr">
        <is>
          <t>5% anual, independiente del mercado; reempleo en ~2 años</t>
        </is>
      </c>
      <c r="C28" s="26" t="inlineStr">
        <is>
          <t>Histórico</t>
        </is>
      </c>
      <c r="D28" s="49" t="n">
        <v>1</v>
      </c>
      <c r="E28" s="49" t="n">
        <v>0.97435</v>
      </c>
      <c r="F28" s="49" t="n">
        <v>0.9475</v>
      </c>
      <c r="G28" s="49" t="n">
        <v>0.9475</v>
      </c>
    </row>
    <row r="29">
      <c r="B29" s="26" t="inlineStr">
        <is>
          <t>5% anual, independiente del mercado; reempleo en ~2 años</t>
        </is>
      </c>
      <c r="C29" s="26" t="inlineStr">
        <is>
          <t>Prospectivo</t>
        </is>
      </c>
      <c r="D29" s="49" t="n">
        <v>1</v>
      </c>
      <c r="E29" s="49" t="n">
        <v>0.66815</v>
      </c>
      <c r="F29" s="49" t="n">
        <v>0.4235</v>
      </c>
      <c r="G29" s="49" t="n">
        <v>0.4235</v>
      </c>
    </row>
    <row r="30">
      <c r="B30" s="26" t="inlineStr">
        <is>
          <t>5% normal y 25% si la cartera cayó &gt;10% en 12 meses; reempleo ~2 años</t>
        </is>
      </c>
      <c r="C30" s="26" t="inlineStr">
        <is>
          <t>Histórico</t>
        </is>
      </c>
      <c r="D30" s="49" t="n">
        <v>1</v>
      </c>
      <c r="E30" s="49" t="n">
        <v>0.9713000000000001</v>
      </c>
      <c r="F30" s="49" t="n">
        <v>0.94385</v>
      </c>
      <c r="G30" s="49" t="n">
        <v>0.94385</v>
      </c>
    </row>
    <row r="31">
      <c r="B31" s="26" t="inlineStr">
        <is>
          <t>5% normal y 25% si la cartera cayó &gt;10% en 12 meses; reempleo ~2 años</t>
        </is>
      </c>
      <c r="C31" s="26" t="inlineStr">
        <is>
          <t>Prospectivo</t>
        </is>
      </c>
      <c r="D31" s="49" t="n">
        <v>0.99995</v>
      </c>
      <c r="E31" s="49" t="n">
        <v>0.6542</v>
      </c>
      <c r="F31" s="49" t="n">
        <v>0.4141</v>
      </c>
      <c r="G31" s="49" t="n">
        <v>0.4141</v>
      </c>
    </row>
    <row r="32">
      <c r="B32" s="26" t="inlineStr">
        <is>
          <t>10% normal y 40% si la cartera cayó &gt;10%; reempleo ~2 años</t>
        </is>
      </c>
      <c r="C32" s="26" t="inlineStr">
        <is>
          <t>Histórico</t>
        </is>
      </c>
      <c r="D32" s="49" t="n">
        <v>1</v>
      </c>
      <c r="E32" s="49" t="n">
        <v>0.96435</v>
      </c>
      <c r="F32" s="49" t="n">
        <v>0.9303</v>
      </c>
      <c r="G32" s="49" t="n">
        <v>0.9303</v>
      </c>
    </row>
    <row r="33">
      <c r="B33" s="26" t="inlineStr">
        <is>
          <t>10% normal y 40% si la cartera cayó &gt;10%; reempleo ~2 años</t>
        </is>
      </c>
      <c r="C33" s="26" t="inlineStr">
        <is>
          <t>Prospectivo</t>
        </is>
      </c>
      <c r="D33" s="49" t="n">
        <v>0.9999</v>
      </c>
      <c r="E33" s="49" t="n">
        <v>0.61055</v>
      </c>
      <c r="F33" s="49" t="n">
        <v>0.37695</v>
      </c>
      <c r="G33" s="49" t="n">
        <v>0.37695</v>
      </c>
    </row>
    <row r="34">
      <c r="B34" s="26" t="inlineStr">
        <is>
          <t>Estrés: 6% anual y pérdida PERMANENTE (sin reempleo)</t>
        </is>
      </c>
      <c r="C34" s="26" t="inlineStr">
        <is>
          <t>Histórico</t>
        </is>
      </c>
      <c r="D34" s="49" t="n">
        <v>0.99985</v>
      </c>
      <c r="E34" s="49" t="n">
        <v>0.91245</v>
      </c>
      <c r="F34" s="49" t="n">
        <v>0.8655</v>
      </c>
      <c r="G34" s="49" t="n">
        <v>0.8655</v>
      </c>
    </row>
    <row r="35">
      <c r="B35" s="26" t="inlineStr">
        <is>
          <t>Estrés: 6% anual y pérdida PERMANENTE (sin reempleo)</t>
        </is>
      </c>
      <c r="C35" s="26" t="inlineStr">
        <is>
          <t>Prospectivo</t>
        </is>
      </c>
      <c r="D35" s="49" t="n">
        <v>0.9957</v>
      </c>
      <c r="E35" s="49" t="n">
        <v>0.5003</v>
      </c>
      <c r="F35" s="49" t="n">
        <v>0.3024</v>
      </c>
      <c r="G35" s="49" t="n">
        <v>0.3024</v>
      </c>
    </row>
    <row r="38">
      <c r="B38" s="25" t="inlineStr">
        <is>
          <t>Abanico del patrimonio real (USD de hoy) — percentiles al cierre de cada año</t>
        </is>
      </c>
    </row>
    <row r="39">
      <c r="B39" s="50" t="inlineStr">
        <is>
          <t>Histórico</t>
        </is>
      </c>
      <c r="J39" s="50" t="inlineStr">
        <is>
          <t>Prospectivo</t>
        </is>
      </c>
    </row>
    <row r="40">
      <c r="B40" s="4" t="inlineStr">
        <is>
          <t>Año</t>
        </is>
      </c>
      <c r="C40" s="4" t="inlineStr">
        <is>
          <t>P10</t>
        </is>
      </c>
      <c r="D40" s="4" t="inlineStr">
        <is>
          <t>P25</t>
        </is>
      </c>
      <c r="E40" s="4" t="inlineStr">
        <is>
          <t>P50</t>
        </is>
      </c>
      <c r="F40" s="4" t="inlineStr">
        <is>
          <t>P75</t>
        </is>
      </c>
      <c r="G40" s="4" t="inlineStr">
        <is>
          <t>P90</t>
        </is>
      </c>
      <c r="J40" s="4" t="inlineStr">
        <is>
          <t>Año</t>
        </is>
      </c>
      <c r="K40" s="4" t="inlineStr">
        <is>
          <t>P10</t>
        </is>
      </c>
      <c r="L40" s="4" t="inlineStr">
        <is>
          <t>P25</t>
        </is>
      </c>
      <c r="M40" s="4" t="inlineStr">
        <is>
          <t>P50</t>
        </is>
      </c>
      <c r="N40" s="4" t="inlineStr">
        <is>
          <t>P75</t>
        </is>
      </c>
      <c r="O40" s="4" t="inlineStr">
        <is>
          <t>P90</t>
        </is>
      </c>
    </row>
    <row r="41">
      <c r="B41" s="31" t="n">
        <v>0</v>
      </c>
      <c r="C41" s="32" t="n">
        <v>144000</v>
      </c>
      <c r="D41" s="32" t="n">
        <v>144000</v>
      </c>
      <c r="E41" s="32" t="n">
        <v>144000</v>
      </c>
      <c r="F41" s="32" t="n">
        <v>144000</v>
      </c>
      <c r="G41" s="32" t="n">
        <v>144000</v>
      </c>
      <c r="J41" s="31" t="n">
        <v>0</v>
      </c>
      <c r="K41" s="32" t="n">
        <v>144000</v>
      </c>
      <c r="L41" s="32" t="n">
        <v>144000</v>
      </c>
      <c r="M41" s="32" t="n">
        <v>144000</v>
      </c>
      <c r="N41" s="32" t="n">
        <v>144000</v>
      </c>
      <c r="O41" s="32" t="n">
        <v>144000</v>
      </c>
    </row>
    <row r="42">
      <c r="B42" s="31" t="n">
        <v>1</v>
      </c>
      <c r="C42" s="32" t="n">
        <v>136454.1140377148</v>
      </c>
      <c r="D42" s="32" t="n">
        <v>145546.7207558729</v>
      </c>
      <c r="E42" s="32" t="n">
        <v>155716.3789750962</v>
      </c>
      <c r="F42" s="32" t="n">
        <v>166313.6236591271</v>
      </c>
      <c r="G42" s="32" t="n">
        <v>176050.4716673002</v>
      </c>
      <c r="J42" s="31" t="n">
        <v>1</v>
      </c>
      <c r="K42" s="32" t="n">
        <v>132358.1173465014</v>
      </c>
      <c r="L42" s="32" t="n">
        <v>141172.3311191642</v>
      </c>
      <c r="M42" s="32" t="n">
        <v>151010.8647201569</v>
      </c>
      <c r="N42" s="32" t="n">
        <v>161267.0965038424</v>
      </c>
      <c r="O42" s="32" t="n">
        <v>170682.9177969237</v>
      </c>
    </row>
    <row r="43">
      <c r="B43" s="31" t="n">
        <v>2</v>
      </c>
      <c r="C43" s="32" t="n">
        <v>149671.6070711785</v>
      </c>
      <c r="D43" s="32" t="n">
        <v>162679.5136214451</v>
      </c>
      <c r="E43" s="32" t="n">
        <v>178615.3606225844</v>
      </c>
      <c r="F43" s="32" t="n">
        <v>195244.6990507198</v>
      </c>
      <c r="G43" s="32" t="n">
        <v>211621.6722000223</v>
      </c>
      <c r="J43" s="31" t="n">
        <v>2</v>
      </c>
      <c r="K43" s="32" t="n">
        <v>141174.8368799096</v>
      </c>
      <c r="L43" s="32" t="n">
        <v>153419.9259013601</v>
      </c>
      <c r="M43" s="32" t="n">
        <v>168400.3097013909</v>
      </c>
      <c r="N43" s="32" t="n">
        <v>184028.1179575948</v>
      </c>
      <c r="O43" s="32" t="n">
        <v>199439.3961008481</v>
      </c>
    </row>
    <row r="44">
      <c r="B44" s="31" t="n">
        <v>3</v>
      </c>
      <c r="C44" s="32" t="n">
        <v>165345.9566355789</v>
      </c>
      <c r="D44" s="32" t="n">
        <v>182118.4442534053</v>
      </c>
      <c r="E44" s="32" t="n">
        <v>203316.6667978124</v>
      </c>
      <c r="F44" s="32" t="n">
        <v>226051.6044996025</v>
      </c>
      <c r="G44" s="32" t="n">
        <v>248357.9889515025</v>
      </c>
      <c r="J44" s="31" t="n">
        <v>3</v>
      </c>
      <c r="K44" s="32" t="n">
        <v>151892.0787747427</v>
      </c>
      <c r="L44" s="32" t="n">
        <v>167218.0832245308</v>
      </c>
      <c r="M44" s="32" t="n">
        <v>186587.892642363</v>
      </c>
      <c r="N44" s="32" t="n">
        <v>207352.4414348647</v>
      </c>
      <c r="O44" s="32" t="n">
        <v>227758.402352147</v>
      </c>
    </row>
    <row r="45">
      <c r="B45" s="31" t="n">
        <v>4</v>
      </c>
      <c r="C45" s="32" t="n">
        <v>182419.22432318</v>
      </c>
      <c r="D45" s="32" t="n">
        <v>203529.1119986085</v>
      </c>
      <c r="E45" s="32" t="n">
        <v>229941.2008466994</v>
      </c>
      <c r="F45" s="32" t="n">
        <v>258860.78612988</v>
      </c>
      <c r="G45" s="32" t="n">
        <v>288271.5071260689</v>
      </c>
      <c r="J45" s="31" t="n">
        <v>4</v>
      </c>
      <c r="K45" s="32" t="n">
        <v>163351.468145487</v>
      </c>
      <c r="L45" s="32" t="n">
        <v>182170.0774599322</v>
      </c>
      <c r="M45" s="32" t="n">
        <v>205625.5463196979</v>
      </c>
      <c r="N45" s="32" t="n">
        <v>231214.4907756061</v>
      </c>
      <c r="O45" s="32" t="n">
        <v>257322.159004283</v>
      </c>
    </row>
    <row r="46">
      <c r="B46" s="31" t="n">
        <v>5</v>
      </c>
      <c r="C46" s="32" t="n">
        <v>199689.5582582639</v>
      </c>
      <c r="D46" s="32" t="n">
        <v>225812.4827342746</v>
      </c>
      <c r="E46" s="32" t="n">
        <v>258541.4020198979</v>
      </c>
      <c r="F46" s="32" t="n">
        <v>295487.0266135904</v>
      </c>
      <c r="G46" s="32" t="n">
        <v>332315.7384546166</v>
      </c>
      <c r="J46" s="31" t="n">
        <v>5</v>
      </c>
      <c r="K46" s="32" t="n">
        <v>174596.6860125276</v>
      </c>
      <c r="L46" s="32" t="n">
        <v>197110.7939690222</v>
      </c>
      <c r="M46" s="32" t="n">
        <v>225379.4435360543</v>
      </c>
      <c r="N46" s="32" t="n">
        <v>257295.2639870977</v>
      </c>
      <c r="O46" s="32" t="n">
        <v>288881.5211313089</v>
      </c>
    </row>
    <row r="47">
      <c r="B47" s="31" t="n">
        <v>6</v>
      </c>
      <c r="C47" s="32" t="n">
        <v>219410.2780986737</v>
      </c>
      <c r="D47" s="32" t="n">
        <v>249979.7329628498</v>
      </c>
      <c r="E47" s="32" t="n">
        <v>289547.1683824272</v>
      </c>
      <c r="F47" s="32" t="n">
        <v>333678.9900654253</v>
      </c>
      <c r="G47" s="32" t="n">
        <v>379620.5806192502</v>
      </c>
      <c r="J47" s="31" t="n">
        <v>6</v>
      </c>
      <c r="K47" s="32" t="n">
        <v>187317.9810934354</v>
      </c>
      <c r="L47" s="32" t="n">
        <v>212969.1966738379</v>
      </c>
      <c r="M47" s="32" t="n">
        <v>246144.1572326938</v>
      </c>
      <c r="N47" s="32" t="n">
        <v>283212.5400068064</v>
      </c>
      <c r="O47" s="32" t="n">
        <v>321686.1593829523</v>
      </c>
    </row>
    <row r="48">
      <c r="B48" s="31" t="n">
        <v>7</v>
      </c>
      <c r="C48" s="32" t="n">
        <v>240419.1778380318</v>
      </c>
      <c r="D48" s="32" t="n">
        <v>276066.6584250598</v>
      </c>
      <c r="E48" s="32" t="n">
        <v>322860.2988122079</v>
      </c>
      <c r="F48" s="32" t="n">
        <v>376379.5299027919</v>
      </c>
      <c r="G48" s="32" t="n">
        <v>432771.8159162413</v>
      </c>
      <c r="J48" s="31" t="n">
        <v>7</v>
      </c>
      <c r="K48" s="32" t="n">
        <v>200472.081830319</v>
      </c>
      <c r="L48" s="32" t="n">
        <v>229624.7873147884</v>
      </c>
      <c r="M48" s="32" t="n">
        <v>267949.3326890952</v>
      </c>
      <c r="N48" s="32" t="n">
        <v>311586.4155358124</v>
      </c>
      <c r="O48" s="32" t="n">
        <v>357578.1543642246</v>
      </c>
    </row>
    <row r="49">
      <c r="B49" s="31" t="n">
        <v>8</v>
      </c>
      <c r="C49" s="32" t="n">
        <v>262517.5054301863</v>
      </c>
      <c r="D49" s="32" t="n">
        <v>304571.807589428</v>
      </c>
      <c r="E49" s="32" t="n">
        <v>358663.760112969</v>
      </c>
      <c r="F49" s="32" t="n">
        <v>422156.8690035946</v>
      </c>
      <c r="G49" s="32" t="n">
        <v>489374.5925807864</v>
      </c>
      <c r="J49" s="31" t="n">
        <v>8</v>
      </c>
      <c r="K49" s="32" t="n">
        <v>213961.4946761923</v>
      </c>
      <c r="L49" s="32" t="n">
        <v>247479.6677578273</v>
      </c>
      <c r="M49" s="32" t="n">
        <v>290450.5766937857</v>
      </c>
      <c r="N49" s="32" t="n">
        <v>340715.6747365507</v>
      </c>
      <c r="O49" s="32" t="n">
        <v>394001.1988336552</v>
      </c>
    </row>
    <row r="50">
      <c r="B50" s="31" t="n">
        <v>9</v>
      </c>
      <c r="C50" s="32" t="n">
        <v>286193.0584790054</v>
      </c>
      <c r="D50" s="32" t="n">
        <v>334213.4374750027</v>
      </c>
      <c r="E50" s="32" t="n">
        <v>397298.5701881842</v>
      </c>
      <c r="F50" s="32" t="n">
        <v>472304.1306883912</v>
      </c>
      <c r="G50" s="32" t="n">
        <v>550908.4851284215</v>
      </c>
      <c r="J50" s="31" t="n">
        <v>9</v>
      </c>
      <c r="K50" s="32" t="n">
        <v>228074.1946171195</v>
      </c>
      <c r="L50" s="32" t="n">
        <v>265266.9205987204</v>
      </c>
      <c r="M50" s="32" t="n">
        <v>314147.8651645432</v>
      </c>
      <c r="N50" s="32" t="n">
        <v>371944.8608642945</v>
      </c>
      <c r="O50" s="32" t="n">
        <v>432463.6215704507</v>
      </c>
    </row>
    <row r="51">
      <c r="B51" s="31" t="n">
        <v>10</v>
      </c>
      <c r="C51" s="32" t="n">
        <v>311851.514024121</v>
      </c>
      <c r="D51" s="32" t="n">
        <v>366554.0147793446</v>
      </c>
      <c r="E51" s="32" t="n">
        <v>438264.2073788026</v>
      </c>
      <c r="F51" s="32" t="n">
        <v>524538.6908439768</v>
      </c>
      <c r="G51" s="32" t="n">
        <v>618968.7294038442</v>
      </c>
      <c r="J51" s="31" t="n">
        <v>10</v>
      </c>
      <c r="K51" s="32" t="n">
        <v>242887.8695240552</v>
      </c>
      <c r="L51" s="32" t="n">
        <v>284283.099727041</v>
      </c>
      <c r="M51" s="32" t="n">
        <v>338588.9196972309</v>
      </c>
      <c r="N51" s="32" t="n">
        <v>403122.3304790499</v>
      </c>
      <c r="O51" s="32" t="n">
        <v>474047.2828937038</v>
      </c>
    </row>
    <row r="52">
      <c r="B52" s="31" t="n">
        <v>11</v>
      </c>
      <c r="C52" s="32" t="n">
        <v>339943.6078683768</v>
      </c>
      <c r="D52" s="32" t="n">
        <v>402625.1540477034</v>
      </c>
      <c r="E52" s="32" t="n">
        <v>484754.6953615946</v>
      </c>
      <c r="F52" s="32" t="n">
        <v>585106.2003847008</v>
      </c>
      <c r="G52" s="32" t="n">
        <v>692461.6183803611</v>
      </c>
      <c r="J52" s="31" t="n">
        <v>11</v>
      </c>
      <c r="K52" s="32" t="n">
        <v>258920.9960379448</v>
      </c>
      <c r="L52" s="32" t="n">
        <v>304948.5073260505</v>
      </c>
      <c r="M52" s="32" t="n">
        <v>365376.0016676137</v>
      </c>
      <c r="N52" s="32" t="n">
        <v>438260.8377906708</v>
      </c>
      <c r="O52" s="32" t="n">
        <v>516979.2960596205</v>
      </c>
    </row>
    <row r="53">
      <c r="B53" s="31" t="n">
        <v>12</v>
      </c>
      <c r="C53" s="32" t="n">
        <v>369648.7749239895</v>
      </c>
      <c r="D53" s="32" t="n">
        <v>438931.2422436419</v>
      </c>
      <c r="E53" s="32" t="n">
        <v>533192.8260782126</v>
      </c>
      <c r="F53" s="32" t="n">
        <v>649710.5400303868</v>
      </c>
      <c r="G53" s="32" t="n">
        <v>773496.4385566801</v>
      </c>
      <c r="J53" s="31" t="n">
        <v>12</v>
      </c>
      <c r="K53" s="32" t="n">
        <v>275402.7257567547</v>
      </c>
      <c r="L53" s="32" t="n">
        <v>325210.1353470562</v>
      </c>
      <c r="M53" s="32" t="n">
        <v>392365.9042733752</v>
      </c>
      <c r="N53" s="32" t="n">
        <v>475179.3973235725</v>
      </c>
      <c r="O53" s="32" t="n">
        <v>563101.2573563977</v>
      </c>
    </row>
    <row r="54">
      <c r="B54" s="31" t="n">
        <v>13</v>
      </c>
      <c r="C54" s="32" t="n">
        <v>400537.7074142257</v>
      </c>
      <c r="D54" s="32" t="n">
        <v>478220.444301274</v>
      </c>
      <c r="E54" s="32" t="n">
        <v>585834.168135072</v>
      </c>
      <c r="F54" s="32" t="n">
        <v>719138.0565255021</v>
      </c>
      <c r="G54" s="32" t="n">
        <v>865265.749852504</v>
      </c>
      <c r="J54" s="31" t="n">
        <v>13</v>
      </c>
      <c r="K54" s="32" t="n">
        <v>291860.418564107</v>
      </c>
      <c r="L54" s="32" t="n">
        <v>345960.6973468186</v>
      </c>
      <c r="M54" s="32" t="n">
        <v>420953.8156783793</v>
      </c>
      <c r="N54" s="32" t="n">
        <v>513261.6356477648</v>
      </c>
      <c r="O54" s="32" t="n">
        <v>613340.5496304431</v>
      </c>
    </row>
    <row r="55">
      <c r="B55" s="31" t="n">
        <v>14</v>
      </c>
      <c r="C55" s="32" t="n">
        <v>417357.0928401357</v>
      </c>
      <c r="D55" s="32" t="n">
        <v>507507.0182938736</v>
      </c>
      <c r="E55" s="32" t="n">
        <v>628629.1084490581</v>
      </c>
      <c r="F55" s="32" t="n">
        <v>779861.00180054</v>
      </c>
      <c r="G55" s="32" t="n">
        <v>947364.581609864</v>
      </c>
      <c r="J55" s="31" t="n">
        <v>14</v>
      </c>
      <c r="K55" s="32" t="n">
        <v>293358.0121816668</v>
      </c>
      <c r="L55" s="32" t="n">
        <v>354559.9482878059</v>
      </c>
      <c r="M55" s="32" t="n">
        <v>436784.4982638934</v>
      </c>
      <c r="N55" s="32" t="n">
        <v>538696.0973791513</v>
      </c>
      <c r="O55" s="32" t="n">
        <v>650937.4816419517</v>
      </c>
    </row>
    <row r="56">
      <c r="B56" s="31" t="n">
        <v>15</v>
      </c>
      <c r="C56" s="32" t="n">
        <v>440075.8378572149</v>
      </c>
      <c r="D56" s="32" t="n">
        <v>537423.1228064848</v>
      </c>
      <c r="E56" s="32" t="n">
        <v>673390.8569420783</v>
      </c>
      <c r="F56" s="32" t="n">
        <v>848356.1181168079</v>
      </c>
      <c r="G56" s="32" t="n">
        <v>1034374.71586807</v>
      </c>
      <c r="J56" s="31" t="n">
        <v>15</v>
      </c>
      <c r="K56" s="32" t="n">
        <v>297925.1477922304</v>
      </c>
      <c r="L56" s="32" t="n">
        <v>362728.6532404171</v>
      </c>
      <c r="M56" s="32" t="n">
        <v>452302.1351769639</v>
      </c>
      <c r="N56" s="32" t="n">
        <v>566616.7408895961</v>
      </c>
      <c r="O56" s="32" t="n">
        <v>688342.0957579614</v>
      </c>
    </row>
    <row r="57">
      <c r="B57" s="31" t="n">
        <v>16</v>
      </c>
      <c r="C57" s="32" t="n">
        <v>447387.1344489602</v>
      </c>
      <c r="D57" s="32" t="n">
        <v>556516.7327356425</v>
      </c>
      <c r="E57" s="32" t="n">
        <v>710012.8314252895</v>
      </c>
      <c r="F57" s="32" t="n">
        <v>904485.1173033048</v>
      </c>
      <c r="G57" s="32" t="n">
        <v>1121897.004993387</v>
      </c>
      <c r="J57" s="31" t="n">
        <v>16</v>
      </c>
      <c r="K57" s="32" t="n">
        <v>287621.1357098138</v>
      </c>
      <c r="L57" s="32" t="n">
        <v>357861.0807907289</v>
      </c>
      <c r="M57" s="32" t="n">
        <v>455899.6021537756</v>
      </c>
      <c r="N57" s="32" t="n">
        <v>580188.660696458</v>
      </c>
      <c r="O57" s="32" t="n">
        <v>717726.1324747432</v>
      </c>
    </row>
    <row r="58">
      <c r="B58" s="31" t="n">
        <v>17</v>
      </c>
      <c r="C58" s="32" t="n">
        <v>455729.3224642329</v>
      </c>
      <c r="D58" s="32" t="n">
        <v>577855.6597169689</v>
      </c>
      <c r="E58" s="32" t="n">
        <v>748600.2589248751</v>
      </c>
      <c r="F58" s="32" t="n">
        <v>963966.3093669356</v>
      </c>
      <c r="G58" s="32" t="n">
        <v>1210182.557492202</v>
      </c>
      <c r="J58" s="31" t="n">
        <v>17</v>
      </c>
      <c r="K58" s="32" t="n">
        <v>277177.0752571572</v>
      </c>
      <c r="L58" s="32" t="n">
        <v>353125.6934190295</v>
      </c>
      <c r="M58" s="32" t="n">
        <v>459486.0703077912</v>
      </c>
      <c r="N58" s="32" t="n">
        <v>592745.223647448</v>
      </c>
      <c r="O58" s="32" t="n">
        <v>743042.1632988978</v>
      </c>
    </row>
    <row r="59">
      <c r="B59" s="31" t="n">
        <v>18</v>
      </c>
      <c r="C59" s="32" t="n">
        <v>466747.7096879188</v>
      </c>
      <c r="D59" s="32" t="n">
        <v>601157.5249200427</v>
      </c>
      <c r="E59" s="32" t="n">
        <v>788298.3313434868</v>
      </c>
      <c r="F59" s="32" t="n">
        <v>1033184.963518028</v>
      </c>
      <c r="G59" s="32" t="n">
        <v>1304652.037527476</v>
      </c>
      <c r="J59" s="31" t="n">
        <v>18</v>
      </c>
      <c r="K59" s="32" t="n">
        <v>267592.7657017076</v>
      </c>
      <c r="L59" s="32" t="n">
        <v>349022.6469777534</v>
      </c>
      <c r="M59" s="32" t="n">
        <v>461018.1561497097</v>
      </c>
      <c r="N59" s="32" t="n">
        <v>608368.2877677679</v>
      </c>
      <c r="O59" s="32" t="n">
        <v>771535.7980326648</v>
      </c>
    </row>
    <row r="60">
      <c r="B60" s="31" t="n">
        <v>19</v>
      </c>
      <c r="C60" s="32" t="n">
        <v>492621.8989371788</v>
      </c>
      <c r="D60" s="32" t="n">
        <v>641066.2067744951</v>
      </c>
      <c r="E60" s="32" t="n">
        <v>846487.6448663408</v>
      </c>
      <c r="F60" s="32" t="n">
        <v>1116586.951260546</v>
      </c>
      <c r="G60" s="32" t="n">
        <v>1431851.241432854</v>
      </c>
      <c r="J60" s="31" t="n">
        <v>19</v>
      </c>
      <c r="K60" s="32" t="n">
        <v>272075.5043815093</v>
      </c>
      <c r="L60" s="32" t="n">
        <v>358569.5991294689</v>
      </c>
      <c r="M60" s="32" t="n">
        <v>478571.3022060455</v>
      </c>
      <c r="N60" s="32" t="n">
        <v>635768.9755728182</v>
      </c>
      <c r="O60" s="32" t="n">
        <v>818065.5003774191</v>
      </c>
    </row>
    <row r="61">
      <c r="B61" s="31" t="n">
        <v>20</v>
      </c>
      <c r="C61" s="32" t="n">
        <v>519460.4255044904</v>
      </c>
      <c r="D61" s="32" t="n">
        <v>679894.0092888556</v>
      </c>
      <c r="E61" s="32" t="n">
        <v>905902.1355178005</v>
      </c>
      <c r="F61" s="32" t="n">
        <v>1211676.085084609</v>
      </c>
      <c r="G61" s="32" t="n">
        <v>1568199.03330314</v>
      </c>
      <c r="J61" s="31" t="n">
        <v>20</v>
      </c>
      <c r="K61" s="32" t="n">
        <v>275866.7544755834</v>
      </c>
      <c r="L61" s="32" t="n">
        <v>367062.422077471</v>
      </c>
      <c r="M61" s="32" t="n">
        <v>495019.1218320272</v>
      </c>
      <c r="N61" s="32" t="n">
        <v>667227.1702919058</v>
      </c>
      <c r="O61" s="32" t="n">
        <v>865316.8058039774</v>
      </c>
    </row>
    <row r="62">
      <c r="B62" s="31" t="n">
        <v>21</v>
      </c>
      <c r="C62" s="32" t="n">
        <v>552999.6642074435</v>
      </c>
      <c r="D62" s="32" t="n">
        <v>726105.8087880882</v>
      </c>
      <c r="E62" s="32" t="n">
        <v>976368.2061785125</v>
      </c>
      <c r="F62" s="32" t="n">
        <v>1316154.300247669</v>
      </c>
      <c r="G62" s="32" t="n">
        <v>1720575.669043288</v>
      </c>
      <c r="J62" s="31" t="n">
        <v>21</v>
      </c>
      <c r="K62" s="32" t="n">
        <v>285161.7303325968</v>
      </c>
      <c r="L62" s="32" t="n">
        <v>380072.4122577549</v>
      </c>
      <c r="M62" s="32" t="n">
        <v>517521.6835157596</v>
      </c>
      <c r="N62" s="32" t="n">
        <v>702355.1596891826</v>
      </c>
      <c r="O62" s="32" t="n">
        <v>921863.7280852485</v>
      </c>
    </row>
    <row r="63">
      <c r="B63" s="31" t="n">
        <v>22</v>
      </c>
      <c r="C63" s="32" t="n">
        <v>587764.8493924503</v>
      </c>
      <c r="D63" s="32" t="n">
        <v>778419.7816989853</v>
      </c>
      <c r="E63" s="32" t="n">
        <v>1054109.793348694</v>
      </c>
      <c r="F63" s="32" t="n">
        <v>1429263.130083642</v>
      </c>
      <c r="G63" s="32" t="n">
        <v>1875782.796299756</v>
      </c>
      <c r="J63" s="31" t="n">
        <v>22</v>
      </c>
      <c r="K63" s="32" t="n">
        <v>294657.5360452936</v>
      </c>
      <c r="L63" s="32" t="n">
        <v>394963.2374997063</v>
      </c>
      <c r="M63" s="32" t="n">
        <v>541503.7307041672</v>
      </c>
      <c r="N63" s="32" t="n">
        <v>739038.3426684747</v>
      </c>
      <c r="O63" s="32" t="n">
        <v>975357.5728623336</v>
      </c>
    </row>
    <row r="64">
      <c r="B64" s="31" t="n">
        <v>23</v>
      </c>
      <c r="C64" s="32" t="n">
        <v>624176.920531888</v>
      </c>
      <c r="D64" s="32" t="n">
        <v>836745.750516552</v>
      </c>
      <c r="E64" s="32" t="n">
        <v>1136752.482478598</v>
      </c>
      <c r="F64" s="32" t="n">
        <v>1554786.935818375</v>
      </c>
      <c r="G64" s="32" t="n">
        <v>2046376.813726819</v>
      </c>
      <c r="J64" s="31" t="n">
        <v>23</v>
      </c>
      <c r="K64" s="32" t="n">
        <v>303546.8117053696</v>
      </c>
      <c r="L64" s="32" t="n">
        <v>412355.1073702953</v>
      </c>
      <c r="M64" s="32" t="n">
        <v>565893.7043165803</v>
      </c>
      <c r="N64" s="32" t="n">
        <v>779434.0352418484</v>
      </c>
      <c r="O64" s="32" t="n">
        <v>1030060.964281491</v>
      </c>
    </row>
    <row r="65">
      <c r="B65" s="31" t="n">
        <v>24</v>
      </c>
      <c r="C65" s="32" t="n">
        <v>664167.4638758769</v>
      </c>
      <c r="D65" s="32" t="n">
        <v>892044.7769446577</v>
      </c>
      <c r="E65" s="32" t="n">
        <v>1224409.891552228</v>
      </c>
      <c r="F65" s="32" t="n">
        <v>1679184.113114828</v>
      </c>
      <c r="G65" s="32" t="n">
        <v>2225430.331621269</v>
      </c>
      <c r="J65" s="31" t="n">
        <v>24</v>
      </c>
      <c r="K65" s="32" t="n">
        <v>313860.3985140814</v>
      </c>
      <c r="L65" s="32" t="n">
        <v>426887.1266000959</v>
      </c>
      <c r="M65" s="32" t="n">
        <v>591025.4613461688</v>
      </c>
      <c r="N65" s="32" t="n">
        <v>815825.8943389941</v>
      </c>
      <c r="O65" s="32" t="n">
        <v>1087650.948499074</v>
      </c>
    </row>
    <row r="66">
      <c r="B66" s="31" t="n">
        <v>25</v>
      </c>
      <c r="C66" s="32" t="n">
        <v>707660.2760514553</v>
      </c>
      <c r="D66" s="32" t="n">
        <v>961391.9074913844</v>
      </c>
      <c r="E66" s="32" t="n">
        <v>1320710.070178245</v>
      </c>
      <c r="F66" s="32" t="n">
        <v>1827172.568253553</v>
      </c>
      <c r="G66" s="32" t="n">
        <v>2423866.063554092</v>
      </c>
      <c r="J66" s="31" t="n">
        <v>25</v>
      </c>
      <c r="K66" s="32" t="n">
        <v>324301.0310000495</v>
      </c>
      <c r="L66" s="32" t="n">
        <v>445602.9957390968</v>
      </c>
      <c r="M66" s="32" t="n">
        <v>617754.266084807</v>
      </c>
      <c r="N66" s="32" t="n">
        <v>861035.6000018133</v>
      </c>
      <c r="O66" s="32" t="n">
        <v>1148464.697207463</v>
      </c>
    </row>
    <row r="67">
      <c r="B67" s="31" t="n">
        <v>26</v>
      </c>
      <c r="C67" s="32" t="n">
        <v>255670.9848559589</v>
      </c>
      <c r="D67" s="32" t="n">
        <v>523590.3931820241</v>
      </c>
      <c r="E67" s="32" t="n">
        <v>912158.1231031795</v>
      </c>
      <c r="F67" s="32" t="n">
        <v>1468759.2576856</v>
      </c>
      <c r="G67" s="32" t="n">
        <v>2127025.47189872</v>
      </c>
      <c r="J67" s="31" t="n">
        <v>26</v>
      </c>
      <c r="K67" s="32" t="n">
        <v>0</v>
      </c>
      <c r="L67" s="32" t="n">
        <v>0</v>
      </c>
      <c r="M67" s="32" t="n">
        <v>153286.3631192521</v>
      </c>
      <c r="N67" s="32" t="n">
        <v>409623.9955141621</v>
      </c>
      <c r="O67" s="32" t="n">
        <v>717887.4681093362</v>
      </c>
    </row>
    <row r="68">
      <c r="B68" s="31" t="n">
        <v>27</v>
      </c>
      <c r="C68" s="32" t="n">
        <v>272440.7114861287</v>
      </c>
      <c r="D68" s="32" t="n">
        <v>559107.561565789</v>
      </c>
      <c r="E68" s="32" t="n">
        <v>982174.0924294845</v>
      </c>
      <c r="F68" s="32" t="n">
        <v>1587614.464996669</v>
      </c>
      <c r="G68" s="32" t="n">
        <v>2314336.427245236</v>
      </c>
      <c r="J68" s="31" t="n">
        <v>27</v>
      </c>
      <c r="K68" s="32" t="n">
        <v>0</v>
      </c>
      <c r="L68" s="32" t="n">
        <v>0</v>
      </c>
      <c r="M68" s="32" t="n">
        <v>159008.57522111</v>
      </c>
      <c r="N68" s="32" t="n">
        <v>426188.9391457625</v>
      </c>
      <c r="O68" s="32" t="n">
        <v>748570.2207656909</v>
      </c>
    </row>
    <row r="69">
      <c r="B69" s="31" t="n">
        <v>28</v>
      </c>
      <c r="C69" s="32" t="n">
        <v>290273.0602427588</v>
      </c>
      <c r="D69" s="32" t="n">
        <v>596553.3205468782</v>
      </c>
      <c r="E69" s="32" t="n">
        <v>1055483.069819591</v>
      </c>
      <c r="F69" s="32" t="n">
        <v>1718131.228453763</v>
      </c>
      <c r="G69" s="32" t="n">
        <v>2508219.011972883</v>
      </c>
      <c r="J69" s="31" t="n">
        <v>28</v>
      </c>
      <c r="K69" s="32" t="n">
        <v>0</v>
      </c>
      <c r="L69" s="32" t="n">
        <v>0</v>
      </c>
      <c r="M69" s="32" t="n">
        <v>164396.5620781152</v>
      </c>
      <c r="N69" s="32" t="n">
        <v>445146.0160144855</v>
      </c>
      <c r="O69" s="32" t="n">
        <v>786425.2092011557</v>
      </c>
    </row>
    <row r="70">
      <c r="B70" s="31" t="n">
        <v>29</v>
      </c>
      <c r="C70" s="32" t="n">
        <v>308912.1174782793</v>
      </c>
      <c r="D70" s="32" t="n">
        <v>640756.8862819226</v>
      </c>
      <c r="E70" s="32" t="n">
        <v>1140301.48207127</v>
      </c>
      <c r="F70" s="32" t="n">
        <v>1855872.622261393</v>
      </c>
      <c r="G70" s="32" t="n">
        <v>2761555.366251208</v>
      </c>
      <c r="J70" s="31" t="n">
        <v>29</v>
      </c>
      <c r="K70" s="32" t="n">
        <v>0</v>
      </c>
      <c r="L70" s="32" t="n">
        <v>0</v>
      </c>
      <c r="M70" s="32" t="n">
        <v>172313.4619658666</v>
      </c>
      <c r="N70" s="32" t="n">
        <v>464654.9223996194</v>
      </c>
      <c r="O70" s="32" t="n">
        <v>829601.461165678</v>
      </c>
    </row>
    <row r="71">
      <c r="B71" s="31" t="n">
        <v>30</v>
      </c>
      <c r="C71" s="32" t="n">
        <v>333212.9903784204</v>
      </c>
      <c r="D71" s="32" t="n">
        <v>688703.1540853103</v>
      </c>
      <c r="E71" s="32" t="n">
        <v>1224331.745361202</v>
      </c>
      <c r="F71" s="32" t="n">
        <v>2019278.42225861</v>
      </c>
      <c r="G71" s="32" t="n">
        <v>2999698.42570135</v>
      </c>
      <c r="J71" s="31" t="n">
        <v>30</v>
      </c>
      <c r="K71" s="32" t="n">
        <v>0</v>
      </c>
      <c r="L71" s="32" t="n">
        <v>0</v>
      </c>
      <c r="M71" s="32" t="n">
        <v>180058.1502279092</v>
      </c>
      <c r="N71" s="32" t="n">
        <v>490053.718248729</v>
      </c>
      <c r="O71" s="32" t="n">
        <v>879270.4017871744</v>
      </c>
    </row>
    <row r="72">
      <c r="B72" s="31" t="n">
        <v>31</v>
      </c>
      <c r="C72" s="32" t="n">
        <v>355265.8457745715</v>
      </c>
      <c r="D72" s="32" t="n">
        <v>737503.2962711161</v>
      </c>
      <c r="E72" s="32" t="n">
        <v>1317746.031404275</v>
      </c>
      <c r="F72" s="32" t="n">
        <v>2181855.931864912</v>
      </c>
      <c r="G72" s="32" t="n">
        <v>3256825.108424844</v>
      </c>
      <c r="J72" s="31" t="n">
        <v>31</v>
      </c>
      <c r="K72" s="32" t="n">
        <v>0</v>
      </c>
      <c r="L72" s="32" t="n">
        <v>0</v>
      </c>
      <c r="M72" s="32" t="n">
        <v>188158.2613176513</v>
      </c>
      <c r="N72" s="32" t="n">
        <v>515119.7132841792</v>
      </c>
      <c r="O72" s="32" t="n">
        <v>924330.9865855103</v>
      </c>
    </row>
    <row r="73">
      <c r="B73" s="31" t="n">
        <v>32</v>
      </c>
      <c r="C73" s="32" t="n">
        <v>380689.8277656937</v>
      </c>
      <c r="D73" s="32" t="n">
        <v>788157.3056867088</v>
      </c>
      <c r="E73" s="32" t="n">
        <v>1422930.050341756</v>
      </c>
      <c r="F73" s="32" t="n">
        <v>2360410.53529432</v>
      </c>
      <c r="G73" s="32" t="n">
        <v>3553467.573872644</v>
      </c>
      <c r="J73" s="31" t="n">
        <v>32</v>
      </c>
      <c r="K73" s="32" t="n">
        <v>0</v>
      </c>
      <c r="L73" s="32" t="n">
        <v>0</v>
      </c>
      <c r="M73" s="32" t="n">
        <v>196588.1718983255</v>
      </c>
      <c r="N73" s="32" t="n">
        <v>536321.5836451945</v>
      </c>
      <c r="O73" s="32" t="n">
        <v>975456.0370221494</v>
      </c>
    </row>
    <row r="74">
      <c r="B74" s="31" t="n">
        <v>33</v>
      </c>
      <c r="C74" s="32" t="n">
        <v>408799.1318890703</v>
      </c>
      <c r="D74" s="32" t="n">
        <v>845468.3601149719</v>
      </c>
      <c r="E74" s="32" t="n">
        <v>1531764.363825772</v>
      </c>
      <c r="F74" s="32" t="n">
        <v>2547919.366632849</v>
      </c>
      <c r="G74" s="32" t="n">
        <v>3867853.368261833</v>
      </c>
      <c r="J74" s="31" t="n">
        <v>33</v>
      </c>
      <c r="K74" s="32" t="n">
        <v>0</v>
      </c>
      <c r="L74" s="32" t="n">
        <v>0</v>
      </c>
      <c r="M74" s="32" t="n">
        <v>204152.6995220752</v>
      </c>
      <c r="N74" s="32" t="n">
        <v>561023.9654660071</v>
      </c>
      <c r="O74" s="32" t="n">
        <v>1014123.056282845</v>
      </c>
    </row>
    <row r="75">
      <c r="B75" s="31" t="n">
        <v>34</v>
      </c>
      <c r="C75" s="32" t="n">
        <v>438692.4475260337</v>
      </c>
      <c r="D75" s="32" t="n">
        <v>904156.5613810641</v>
      </c>
      <c r="E75" s="32" t="n">
        <v>1649056.212047155</v>
      </c>
      <c r="F75" s="32" t="n">
        <v>2759067.789268943</v>
      </c>
      <c r="G75" s="32" t="n">
        <v>4223370.916928157</v>
      </c>
      <c r="J75" s="31" t="n">
        <v>34</v>
      </c>
      <c r="K75" s="32" t="n">
        <v>0</v>
      </c>
      <c r="L75" s="32" t="n">
        <v>0</v>
      </c>
      <c r="M75" s="32" t="n">
        <v>212807.4237549869</v>
      </c>
      <c r="N75" s="32" t="n">
        <v>586784.5528852714</v>
      </c>
      <c r="O75" s="32" t="n">
        <v>1070527.870974534</v>
      </c>
    </row>
    <row r="76">
      <c r="B76" s="31" t="n">
        <v>35</v>
      </c>
      <c r="C76" s="32" t="n">
        <v>466480.007346219</v>
      </c>
      <c r="D76" s="32" t="n">
        <v>973176.914389679</v>
      </c>
      <c r="E76" s="32" t="n">
        <v>1773413.152959759</v>
      </c>
      <c r="F76" s="32" t="n">
        <v>2993111.03986615</v>
      </c>
      <c r="G76" s="32" t="n">
        <v>4586987.72590914</v>
      </c>
      <c r="J76" s="31" t="n">
        <v>35</v>
      </c>
      <c r="K76" s="32" t="n">
        <v>0</v>
      </c>
      <c r="L76" s="32" t="n">
        <v>0</v>
      </c>
      <c r="M76" s="32" t="n">
        <v>220605.1599468002</v>
      </c>
      <c r="N76" s="32" t="n">
        <v>613206.0670913237</v>
      </c>
      <c r="O76" s="32" t="n">
        <v>1126573.534523322</v>
      </c>
    </row>
    <row r="77">
      <c r="B77" s="31" t="n">
        <v>36</v>
      </c>
      <c r="C77" s="32" t="n">
        <v>503474.0879313131</v>
      </c>
      <c r="D77" s="32" t="n">
        <v>1041387.833513363</v>
      </c>
      <c r="E77" s="32" t="n">
        <v>1918066.122944931</v>
      </c>
      <c r="F77" s="32" t="n">
        <v>3238512.659854342</v>
      </c>
      <c r="G77" s="32" t="n">
        <v>5013503.609766653</v>
      </c>
      <c r="J77" s="31" t="n">
        <v>36</v>
      </c>
      <c r="K77" s="32" t="n">
        <v>0</v>
      </c>
      <c r="L77" s="32" t="n">
        <v>0</v>
      </c>
      <c r="M77" s="32" t="n">
        <v>230251.9088631201</v>
      </c>
      <c r="N77" s="32" t="n">
        <v>645558.5527860862</v>
      </c>
      <c r="O77" s="32" t="n">
        <v>1190450.159143731</v>
      </c>
    </row>
    <row r="78">
      <c r="B78" s="31" t="n">
        <v>37</v>
      </c>
      <c r="C78" s="32" t="n">
        <v>536307.275694148</v>
      </c>
      <c r="D78" s="32" t="n">
        <v>1117828.739351017</v>
      </c>
      <c r="E78" s="32" t="n">
        <v>2066446.827250693</v>
      </c>
      <c r="F78" s="32" t="n">
        <v>3515074.81246604</v>
      </c>
      <c r="G78" s="32" t="n">
        <v>5445545.701611731</v>
      </c>
      <c r="J78" s="31" t="n">
        <v>37</v>
      </c>
      <c r="K78" s="32" t="n">
        <v>0</v>
      </c>
      <c r="L78" s="32" t="n">
        <v>0</v>
      </c>
      <c r="M78" s="32" t="n">
        <v>239603.4355525717</v>
      </c>
      <c r="N78" s="32" t="n">
        <v>676561.6653554246</v>
      </c>
      <c r="O78" s="32" t="n">
        <v>1255466.357932514</v>
      </c>
    </row>
    <row r="79">
      <c r="B79" s="31" t="n">
        <v>38</v>
      </c>
      <c r="C79" s="32" t="n">
        <v>569410.7845699141</v>
      </c>
      <c r="D79" s="32" t="n">
        <v>1191501.582779806</v>
      </c>
      <c r="E79" s="32" t="n">
        <v>2220185.697328453</v>
      </c>
      <c r="F79" s="32" t="n">
        <v>3797859.504405804</v>
      </c>
      <c r="G79" s="32" t="n">
        <v>5875463.255745386</v>
      </c>
      <c r="J79" s="31" t="n">
        <v>38</v>
      </c>
      <c r="K79" s="32" t="n">
        <v>0</v>
      </c>
      <c r="L79" s="32" t="n">
        <v>0</v>
      </c>
      <c r="M79" s="32" t="n">
        <v>251367.8437608126</v>
      </c>
      <c r="N79" s="32" t="n">
        <v>707700.0544908177</v>
      </c>
      <c r="O79" s="32" t="n">
        <v>1321750.638917235</v>
      </c>
    </row>
    <row r="80">
      <c r="B80" s="31" t="n">
        <v>39</v>
      </c>
      <c r="C80" s="32" t="n">
        <v>615584.3065259026</v>
      </c>
      <c r="D80" s="32" t="n">
        <v>1290069.963247137</v>
      </c>
      <c r="E80" s="32" t="n">
        <v>2382688.564175752</v>
      </c>
      <c r="F80" s="32" t="n">
        <v>4104778.516752</v>
      </c>
      <c r="G80" s="32" t="n">
        <v>6470027.680903153</v>
      </c>
      <c r="J80" s="31" t="n">
        <v>39</v>
      </c>
      <c r="K80" s="32" t="n">
        <v>0</v>
      </c>
      <c r="L80" s="32" t="n">
        <v>0</v>
      </c>
      <c r="M80" s="32" t="n">
        <v>262542.1632363425</v>
      </c>
      <c r="N80" s="32" t="n">
        <v>741781.9571310893</v>
      </c>
      <c r="O80" s="32" t="n">
        <v>1386251.649922325</v>
      </c>
    </row>
    <row r="81">
      <c r="B81" s="31" t="n">
        <v>40</v>
      </c>
      <c r="C81" s="32" t="n">
        <v>654732.7077510436</v>
      </c>
      <c r="D81" s="32" t="n">
        <v>1387152.401959817</v>
      </c>
      <c r="E81" s="32" t="n">
        <v>2580933.266235474</v>
      </c>
      <c r="F81" s="32" t="n">
        <v>4431469.418379374</v>
      </c>
      <c r="G81" s="32" t="n">
        <v>6992865.832674773</v>
      </c>
      <c r="J81" s="31" t="n">
        <v>40</v>
      </c>
      <c r="K81" s="32" t="n">
        <v>0</v>
      </c>
      <c r="L81" s="32" t="n">
        <v>0</v>
      </c>
      <c r="M81" s="32" t="n">
        <v>274534.0743478951</v>
      </c>
      <c r="N81" s="32" t="n">
        <v>771874.8154256151</v>
      </c>
      <c r="O81" s="32" t="n">
        <v>1464076.351041272</v>
      </c>
    </row>
    <row r="82">
      <c r="B82" s="31" t="n">
        <v>41</v>
      </c>
      <c r="C82" s="32" t="n">
        <v>702719.4342328539</v>
      </c>
      <c r="D82" s="32" t="n">
        <v>1484050.236817097</v>
      </c>
      <c r="E82" s="32" t="n">
        <v>2777344.327436646</v>
      </c>
      <c r="F82" s="32" t="n">
        <v>4824483.728760692</v>
      </c>
      <c r="G82" s="32" t="n">
        <v>7616960.196385242</v>
      </c>
      <c r="J82" s="31" t="n">
        <v>41</v>
      </c>
      <c r="K82" s="32" t="n">
        <v>0</v>
      </c>
      <c r="L82" s="32" t="n">
        <v>0</v>
      </c>
      <c r="M82" s="32" t="n">
        <v>286998.317482679</v>
      </c>
      <c r="N82" s="32" t="n">
        <v>809714.2587611997</v>
      </c>
      <c r="O82" s="32" t="n">
        <v>1528996.002122362</v>
      </c>
    </row>
    <row r="83">
      <c r="B83" s="31" t="n">
        <v>42</v>
      </c>
      <c r="C83" s="32" t="n">
        <v>750163.3298773105</v>
      </c>
      <c r="D83" s="32" t="n">
        <v>1593743.320595261</v>
      </c>
      <c r="E83" s="32" t="n">
        <v>2993700.371465933</v>
      </c>
      <c r="F83" s="32" t="n">
        <v>5195361.052802132</v>
      </c>
      <c r="G83" s="32" t="n">
        <v>8259579.594608455</v>
      </c>
      <c r="J83" s="31" t="n">
        <v>42</v>
      </c>
      <c r="K83" s="32" t="n">
        <v>0</v>
      </c>
      <c r="L83" s="32" t="n">
        <v>0</v>
      </c>
      <c r="M83" s="32" t="n">
        <v>298546.3354477088</v>
      </c>
      <c r="N83" s="32" t="n">
        <v>843744.9873329554</v>
      </c>
      <c r="O83" s="32" t="n">
        <v>1611760.22036105</v>
      </c>
    </row>
    <row r="84">
      <c r="B84" s="31" t="n">
        <v>43</v>
      </c>
      <c r="C84" s="32" t="n">
        <v>801827.0200714363</v>
      </c>
      <c r="D84" s="32" t="n">
        <v>1712654.304875634</v>
      </c>
      <c r="E84" s="32" t="n">
        <v>3221770.721945024</v>
      </c>
      <c r="F84" s="32" t="n">
        <v>5621321.070734562</v>
      </c>
      <c r="G84" s="32" t="n">
        <v>8983064.201986175</v>
      </c>
      <c r="J84" s="31" t="n">
        <v>43</v>
      </c>
      <c r="K84" s="32" t="n">
        <v>0</v>
      </c>
      <c r="L84" s="32" t="n">
        <v>0</v>
      </c>
      <c r="M84" s="32" t="n">
        <v>312879.4893957092</v>
      </c>
      <c r="N84" s="32" t="n">
        <v>881224.3040963637</v>
      </c>
      <c r="O84" s="32" t="n">
        <v>1695180.656373233</v>
      </c>
    </row>
    <row r="85">
      <c r="B85" s="31" t="n">
        <v>44</v>
      </c>
      <c r="C85" s="32" t="n">
        <v>857074.6980723598</v>
      </c>
      <c r="D85" s="32" t="n">
        <v>1835896.419347555</v>
      </c>
      <c r="E85" s="32" t="n">
        <v>3477877.012609647</v>
      </c>
      <c r="F85" s="32" t="n">
        <v>6084626.441870019</v>
      </c>
      <c r="G85" s="32" t="n">
        <v>9758452.657136636</v>
      </c>
      <c r="J85" s="31" t="n">
        <v>44</v>
      </c>
      <c r="K85" s="32" t="n">
        <v>0</v>
      </c>
      <c r="L85" s="32" t="n">
        <v>0</v>
      </c>
      <c r="M85" s="32" t="n">
        <v>326256.4637445419</v>
      </c>
      <c r="N85" s="32" t="n">
        <v>920197.5194500866</v>
      </c>
      <c r="O85" s="32" t="n">
        <v>1785805.186109843</v>
      </c>
    </row>
    <row r="86">
      <c r="B86" s="31" t="n">
        <v>45</v>
      </c>
      <c r="C86" s="32" t="n">
        <v>915506.2276541966</v>
      </c>
      <c r="D86" s="32" t="n">
        <v>1964099.960523444</v>
      </c>
      <c r="E86" s="32" t="n">
        <v>3731155.86501677</v>
      </c>
      <c r="F86" s="32" t="n">
        <v>6580027.483958626</v>
      </c>
      <c r="G86" s="32" t="n">
        <v>10649229.56802876</v>
      </c>
      <c r="J86" s="31" t="n">
        <v>45</v>
      </c>
      <c r="K86" s="32" t="n">
        <v>0</v>
      </c>
      <c r="L86" s="32" t="n">
        <v>0</v>
      </c>
      <c r="M86" s="32" t="n">
        <v>340253.551452314</v>
      </c>
      <c r="N86" s="32" t="n">
        <v>966062.142029818</v>
      </c>
      <c r="O86" s="32" t="n">
        <v>1871955.388266407</v>
      </c>
    </row>
    <row r="87">
      <c r="B87" s="31" t="n">
        <v>46</v>
      </c>
      <c r="C87" s="32" t="n">
        <v>984762.3651769029</v>
      </c>
      <c r="D87" s="32" t="n">
        <v>2109113.072933702</v>
      </c>
      <c r="E87" s="32" t="n">
        <v>4024098.844691321</v>
      </c>
      <c r="F87" s="32" t="n">
        <v>7117968.958958141</v>
      </c>
      <c r="G87" s="32" t="n">
        <v>11515278.71328638</v>
      </c>
      <c r="J87" s="31" t="n">
        <v>46</v>
      </c>
      <c r="K87" s="32" t="n">
        <v>0</v>
      </c>
      <c r="L87" s="32" t="n">
        <v>0</v>
      </c>
      <c r="M87" s="32" t="n">
        <v>352449.6162720873</v>
      </c>
      <c r="N87" s="32" t="n">
        <v>1009475.392205246</v>
      </c>
      <c r="O87" s="32" t="n">
        <v>1973142.417860637</v>
      </c>
    </row>
    <row r="88">
      <c r="B88" s="31" t="n">
        <v>47</v>
      </c>
      <c r="C88" s="32" t="n">
        <v>1058211.445026823</v>
      </c>
      <c r="D88" s="32" t="n">
        <v>2268077.929896512</v>
      </c>
      <c r="E88" s="32" t="n">
        <v>4333332.16563703</v>
      </c>
      <c r="F88" s="32" t="n">
        <v>7710417.780211817</v>
      </c>
      <c r="G88" s="32" t="n">
        <v>12474746.69651815</v>
      </c>
      <c r="J88" s="31" t="n">
        <v>47</v>
      </c>
      <c r="K88" s="32" t="n">
        <v>0</v>
      </c>
      <c r="L88" s="32" t="n">
        <v>0</v>
      </c>
      <c r="M88" s="32" t="n">
        <v>367726.2377355087</v>
      </c>
      <c r="N88" s="32" t="n">
        <v>1062539.115542519</v>
      </c>
      <c r="O88" s="32" t="n">
        <v>2067611.388542252</v>
      </c>
    </row>
    <row r="89">
      <c r="B89" s="31" t="n">
        <v>48</v>
      </c>
      <c r="C89" s="32" t="n">
        <v>1141060.436490231</v>
      </c>
      <c r="D89" s="32" t="n">
        <v>2439413.899661635</v>
      </c>
      <c r="E89" s="32" t="n">
        <v>4675868.094419305</v>
      </c>
      <c r="F89" s="32" t="n">
        <v>8344285.538826464</v>
      </c>
      <c r="G89" s="32" t="n">
        <v>13522403.05906168</v>
      </c>
      <c r="J89" s="31" t="n">
        <v>48</v>
      </c>
      <c r="K89" s="32" t="n">
        <v>0</v>
      </c>
      <c r="L89" s="32" t="n">
        <v>0</v>
      </c>
      <c r="M89" s="32" t="n">
        <v>382112.9155767026</v>
      </c>
      <c r="N89" s="32" t="n">
        <v>1111874.722447516</v>
      </c>
      <c r="O89" s="32" t="n">
        <v>2167146.942242452</v>
      </c>
    </row>
    <row r="90">
      <c r="B90" s="31" t="n">
        <v>49</v>
      </c>
      <c r="C90" s="32" t="n">
        <v>1218444.402740445</v>
      </c>
      <c r="D90" s="32" t="n">
        <v>2622355.749903151</v>
      </c>
      <c r="E90" s="32" t="n">
        <v>5035875.63883497</v>
      </c>
      <c r="F90" s="32" t="n">
        <v>8954018.433473721</v>
      </c>
      <c r="G90" s="32" t="n">
        <v>14639432.6103281</v>
      </c>
      <c r="J90" s="31" t="n">
        <v>49</v>
      </c>
      <c r="K90" s="32" t="n">
        <v>0</v>
      </c>
      <c r="L90" s="32" t="n">
        <v>0</v>
      </c>
      <c r="M90" s="32" t="n">
        <v>400072.030485756</v>
      </c>
      <c r="N90" s="32" t="n">
        <v>1158486.413944499</v>
      </c>
      <c r="O90" s="32" t="n">
        <v>2275507.044724835</v>
      </c>
    </row>
    <row r="91">
      <c r="B91" s="31" t="n">
        <v>50</v>
      </c>
      <c r="C91" s="32" t="n">
        <v>1311231.820282367</v>
      </c>
      <c r="D91" s="32" t="n">
        <v>2802980.66423178</v>
      </c>
      <c r="E91" s="32" t="n">
        <v>5448079.025805857</v>
      </c>
      <c r="F91" s="32" t="n">
        <v>9698456.44921816</v>
      </c>
      <c r="G91" s="32" t="n">
        <v>15889098.76650925</v>
      </c>
      <c r="J91" s="31" t="n">
        <v>50</v>
      </c>
      <c r="K91" s="32" t="n">
        <v>0</v>
      </c>
      <c r="L91" s="32" t="n">
        <v>0</v>
      </c>
      <c r="M91" s="32" t="n">
        <v>414317.8806113914</v>
      </c>
      <c r="N91" s="32" t="n">
        <v>1208594.897917751</v>
      </c>
      <c r="O91" s="32" t="n">
        <v>2387510.6395635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2">
      <c r="B2" s="1" t="inlineStr">
        <is>
          <t>Validación: correcciones, robustez y prueba fuera de muestra</t>
        </is>
      </c>
    </row>
    <row r="5">
      <c r="B5" s="25" t="inlineStr">
        <is>
          <t>Impacto de las correcciones sobre el modelo original</t>
        </is>
      </c>
    </row>
    <row r="6">
      <c r="B6" s="4" t="inlineStr">
        <is>
          <t>Versión</t>
        </is>
      </c>
      <c r="C6" s="4" t="inlineStr">
        <is>
          <t>Meses</t>
        </is>
      </c>
      <c r="D6" s="4" t="inlineStr">
        <is>
          <t>CAGR Momentum</t>
        </is>
      </c>
      <c r="E6" s="4" t="inlineStr">
        <is>
          <t>CAGR Low-Vol</t>
        </is>
      </c>
      <c r="F6" s="4" t="inlineStr">
        <is>
          <t>CAGR Commodities</t>
        </is>
      </c>
      <c r="G6" s="4" t="inlineStr">
        <is>
          <t>Cartera (pesos aprobados) CAGR</t>
        </is>
      </c>
      <c r="H6" s="4" t="inlineStr">
        <is>
          <t>Cartera Sharpe</t>
        </is>
      </c>
      <c r="I6" s="4" t="inlineStr">
        <is>
          <t>Cartera máx. caída</t>
        </is>
      </c>
      <c r="J6" s="4" t="inlineStr">
        <is>
          <t>BL SPY</t>
        </is>
      </c>
      <c r="K6" s="4" t="inlineStr">
        <is>
          <t>BL TLH</t>
        </is>
      </c>
      <c r="L6" s="4" t="inlineStr">
        <is>
          <t>BL VCLT</t>
        </is>
      </c>
      <c r="M6" s="4" t="inlineStr">
        <is>
          <t>BL MOM_CMD</t>
        </is>
      </c>
      <c r="N6" s="4" t="inlineStr">
        <is>
          <t>BL MOM_EQ</t>
        </is>
      </c>
      <c r="O6" s="4" t="inlineStr">
        <is>
          <t>BL LOW_VOL</t>
        </is>
      </c>
    </row>
    <row r="7">
      <c r="B7" s="26" t="inlineStr">
        <is>
          <t>Modelo original (162 meses, vol. 1 mes)</t>
        </is>
      </c>
      <c r="C7" s="31" t="n">
        <v>162</v>
      </c>
      <c r="D7" s="27" t="n">
        <v>0.1652406132400253</v>
      </c>
      <c r="E7" s="27" t="n">
        <v>0.1100215251801264</v>
      </c>
      <c r="F7" s="27" t="n">
        <v>0.08459672615370328</v>
      </c>
      <c r="G7" s="27" t="n">
        <v>0.1023029469617083</v>
      </c>
      <c r="H7" s="35" t="n">
        <v>0.8762893980473694</v>
      </c>
      <c r="I7" s="27" t="n">
        <v>-0.2040169738076463</v>
      </c>
      <c r="J7" s="27" t="n">
        <v>0.3788924279689041</v>
      </c>
      <c r="K7" s="27" t="n">
        <v>0.1687476418938643</v>
      </c>
      <c r="L7" s="27" t="n">
        <v>0.1460277079792297</v>
      </c>
      <c r="M7" s="27" t="n">
        <v>0.06114817888380449</v>
      </c>
      <c r="N7" s="27" t="n">
        <v>0.07059610840988127</v>
      </c>
      <c r="O7" s="27" t="n">
        <v>0.1745879348643161</v>
      </c>
    </row>
    <row r="8">
      <c r="B8" s="26" t="inlineStr">
        <is>
          <t>+ incluye jul y dic 2018 (dato faltante corregido)</t>
        </is>
      </c>
      <c r="C8" s="31" t="n">
        <v>164</v>
      </c>
      <c r="D8" s="27" t="n">
        <v>0.1561775125287073</v>
      </c>
      <c r="E8" s="27" t="n">
        <v>0.1071607336590132</v>
      </c>
      <c r="F8" s="27" t="n">
        <v>0.07945914007391841</v>
      </c>
      <c r="G8" s="27" t="n">
        <v>0.09949553783386889</v>
      </c>
      <c r="H8" s="35" t="n">
        <v>0.8471162070473034</v>
      </c>
      <c r="I8" s="27" t="n">
        <v>-0.2040169738076463</v>
      </c>
      <c r="J8" s="27" t="n">
        <v>0.372531559845746</v>
      </c>
      <c r="K8" s="27" t="n">
        <v>0.170676937918304</v>
      </c>
      <c r="L8" s="27" t="n">
        <v>0.1482428296367299</v>
      </c>
      <c r="M8" s="27" t="n">
        <v>0.06485058540242337</v>
      </c>
      <c r="N8" s="27" t="n">
        <v>0.07108312854304213</v>
      </c>
      <c r="O8" s="27" t="n">
        <v>0.1726149586537545</v>
      </c>
    </row>
    <row r="9">
      <c r="B9" s="26" t="inlineStr">
        <is>
          <t>+ filtro de Sharpe con vol. 12 meses (versión vigente)</t>
        </is>
      </c>
      <c r="C9" s="31" t="n">
        <v>164</v>
      </c>
      <c r="D9" s="27" t="n">
        <v>0.1618438769229014</v>
      </c>
      <c r="E9" s="27" t="n">
        <v>0.1071607336590132</v>
      </c>
      <c r="F9" s="27" t="n">
        <v>0.07945914007391841</v>
      </c>
      <c r="G9" s="27" t="n">
        <v>0.09993360885041302</v>
      </c>
      <c r="H9" s="35" t="n">
        <v>0.8497646103824529</v>
      </c>
      <c r="I9" s="27" t="n">
        <v>-0.2047527980997259</v>
      </c>
      <c r="J9" s="27" t="n">
        <v>0.3726882915219751</v>
      </c>
      <c r="K9" s="27" t="n">
        <v>0.1708902619220309</v>
      </c>
      <c r="L9" s="27" t="n">
        <v>0.1484279861138483</v>
      </c>
      <c r="M9" s="27" t="n">
        <v>0.06594458452445751</v>
      </c>
      <c r="N9" s="27" t="n">
        <v>0.07023125260231999</v>
      </c>
      <c r="O9" s="27" t="n">
        <v>0.1718176233153682</v>
      </c>
    </row>
    <row r="10">
      <c r="B10" s="26" t="inlineStr">
        <is>
          <t>Sensibilidad: costos en ambos lados</t>
        </is>
      </c>
      <c r="C10" s="31" t="n">
        <v>164</v>
      </c>
      <c r="D10" s="27" t="n">
        <v>0.1558262096074401</v>
      </c>
      <c r="E10" s="27" t="n">
        <v>0.1047232677923378</v>
      </c>
      <c r="F10" s="27" t="n">
        <v>0.07659654334975863</v>
      </c>
      <c r="G10" s="27" t="n">
        <v>0.09892748330964007</v>
      </c>
      <c r="H10" s="35" t="n">
        <v>0.8405184462135937</v>
      </c>
      <c r="I10" s="27" t="n">
        <v>-0.2053545190406552</v>
      </c>
      <c r="J10" s="27" t="n">
        <v>0.3726749437466189</v>
      </c>
      <c r="K10" s="27" t="n">
        <v>0.170880878036065</v>
      </c>
      <c r="L10" s="27" t="n">
        <v>0.148419904578339</v>
      </c>
      <c r="M10" s="27" t="n">
        <v>0.06582692707935313</v>
      </c>
      <c r="N10" s="27" t="n">
        <v>0.07024975178976593</v>
      </c>
      <c r="O10" s="27" t="n">
        <v>0.171947594769858</v>
      </c>
    </row>
    <row r="12">
      <c r="B12" s="25" t="inlineStr">
        <is>
          <t>Robustez de parámetros (un cambio a la vez; backtest completo)</t>
        </is>
      </c>
    </row>
    <row r="13">
      <c r="B13" s="4" t="inlineStr">
        <is>
          <t>Estrategia</t>
        </is>
      </c>
      <c r="C13" s="4" t="inlineStr">
        <is>
          <t>Variante</t>
        </is>
      </c>
      <c r="D13" s="4" t="inlineStr">
        <is>
          <t>CAGR</t>
        </is>
      </c>
      <c r="E13" s="4" t="inlineStr">
        <is>
          <t>Volatilidad</t>
        </is>
      </c>
      <c r="F13" s="4" t="inlineStr">
        <is>
          <t>Sharpe</t>
        </is>
      </c>
      <c r="G13" s="4" t="inlineStr">
        <is>
          <t>Máx. caída</t>
        </is>
      </c>
      <c r="H13" s="4" t="inlineStr">
        <is>
          <t>Sharpe 2013-2019</t>
        </is>
      </c>
      <c r="I13" s="4" t="inlineStr">
        <is>
          <t>Sharpe 2020-2026</t>
        </is>
      </c>
    </row>
    <row r="14">
      <c r="B14" s="26" t="inlineStr">
        <is>
          <t>Momentum</t>
        </is>
      </c>
      <c r="C14" s="26" t="inlineStr">
        <is>
          <t>BASE (vigente)</t>
        </is>
      </c>
      <c r="D14" s="27" t="n">
        <v>0.1618438769229014</v>
      </c>
      <c r="E14" s="27" t="n">
        <v>0.2376094730352182</v>
      </c>
      <c r="F14" s="35" t="n">
        <v>0.6844448610904847</v>
      </c>
      <c r="G14" s="27" t="n">
        <v>-0.3742419535852082</v>
      </c>
      <c r="H14" s="35" t="n">
        <v>0.8423556154953502</v>
      </c>
      <c r="I14" s="35" t="n">
        <v>0.6240239460320431</v>
      </c>
    </row>
    <row r="15">
      <c r="B15" s="26" t="inlineStr">
        <is>
          <t>Momentum</t>
        </is>
      </c>
      <c r="C15" s="26" t="inlineStr">
        <is>
          <t>Sin filtros absolutos (solo ranking)</t>
        </is>
      </c>
      <c r="D15" s="27" t="n">
        <v>0.1708422899455317</v>
      </c>
      <c r="E15" s="27" t="n">
        <v>0.2423379143067266</v>
      </c>
      <c r="F15" s="35" t="n">
        <v>0.7070054886613827</v>
      </c>
      <c r="G15" s="27" t="n">
        <v>-0.3730617728136728</v>
      </c>
      <c r="H15" s="35" t="n">
        <v>0.8276352152442165</v>
      </c>
      <c r="I15" s="35" t="n">
        <v>0.6633721511270565</v>
      </c>
    </row>
    <row r="16">
      <c r="B16" s="26" t="inlineStr">
        <is>
          <t>Momentum</t>
        </is>
      </c>
      <c r="C16" s="26" t="inlineStr">
        <is>
          <t>Umbrales x2 (r6&gt;10%, r12&gt;20%)</t>
        </is>
      </c>
      <c r="D16" s="27" t="n">
        <v>0.1766038087223831</v>
      </c>
      <c r="E16" s="27" t="n">
        <v>0.2367178541154774</v>
      </c>
      <c r="F16" s="35" t="n">
        <v>0.7389826448262805</v>
      </c>
      <c r="G16" s="27" t="n">
        <v>-0.3620651661964752</v>
      </c>
      <c r="H16" s="35" t="n">
        <v>0.8876233111194141</v>
      </c>
      <c r="I16" s="35" t="n">
        <v>0.6847310711383808</v>
      </c>
    </row>
    <row r="17">
      <c r="B17" s="26" t="inlineStr">
        <is>
          <t>Momentum</t>
        </is>
      </c>
      <c r="C17" s="26" t="inlineStr">
        <is>
          <t>Sin filtro de Sharpe</t>
        </is>
      </c>
      <c r="D17" s="27" t="n">
        <v>0.1650138972169262</v>
      </c>
      <c r="E17" s="27" t="n">
        <v>0.2408257590402824</v>
      </c>
      <c r="F17" s="35" t="n">
        <v>0.6895585561176197</v>
      </c>
      <c r="G17" s="27" t="n">
        <v>-0.3678546299952321</v>
      </c>
      <c r="H17" s="35" t="n">
        <v>0.8569386071311285</v>
      </c>
      <c r="I17" s="35" t="n">
        <v>0.6255234516284675</v>
      </c>
    </row>
    <row r="18">
      <c r="B18" s="26" t="inlineStr">
        <is>
          <t>Momentum</t>
        </is>
      </c>
      <c r="C18" s="26" t="inlineStr">
        <is>
          <t>Top 15</t>
        </is>
      </c>
      <c r="D18" s="27" t="n">
        <v>0.1350180936487877</v>
      </c>
      <c r="E18" s="27" t="n">
        <v>0.2010173849063062</v>
      </c>
      <c r="F18" s="35" t="n">
        <v>0.6521798049066688</v>
      </c>
      <c r="G18" s="27" t="n">
        <v>-0.3549424537185429</v>
      </c>
      <c r="H18" s="35" t="n">
        <v>1.01089556661491</v>
      </c>
      <c r="I18" s="35" t="n">
        <v>0.448502534690891</v>
      </c>
    </row>
    <row r="19">
      <c r="B19" s="26" t="inlineStr">
        <is>
          <t>Momentum</t>
        </is>
      </c>
      <c r="C19" s="26" t="inlineStr">
        <is>
          <t>Top 20</t>
        </is>
      </c>
      <c r="D19" s="27" t="n">
        <v>0.128113531455665</v>
      </c>
      <c r="E19" s="27" t="n">
        <v>0.1856853503247769</v>
      </c>
      <c r="F19" s="35" t="n">
        <v>0.6569723601804862</v>
      </c>
      <c r="G19" s="27" t="n">
        <v>-0.3034919067755112</v>
      </c>
      <c r="H19" s="35" t="n">
        <v>0.999523484905364</v>
      </c>
      <c r="I19" s="35" t="n">
        <v>0.4360532012031432</v>
      </c>
    </row>
    <row r="20">
      <c r="B20" s="26" t="inlineStr">
        <is>
          <t>Momentum</t>
        </is>
      </c>
      <c r="C20" s="26" t="inlineStr">
        <is>
          <t>Límite sectorial 30%</t>
        </is>
      </c>
      <c r="D20" s="27" t="n">
        <v>0.1662956249153635</v>
      </c>
      <c r="E20" s="27" t="n">
        <v>0.2350723698388913</v>
      </c>
      <c r="F20" s="35" t="n">
        <v>0.7070406908829312</v>
      </c>
      <c r="G20" s="27" t="n">
        <v>-0.3567175602722391</v>
      </c>
      <c r="H20" s="35" t="n">
        <v>0.9315390641477544</v>
      </c>
      <c r="I20" s="35" t="n">
        <v>0.6018798172593812</v>
      </c>
    </row>
    <row r="21">
      <c r="B21" s="26" t="inlineStr">
        <is>
          <t>Momentum</t>
        </is>
      </c>
      <c r="C21" s="26" t="inlineStr">
        <is>
          <t>Sin límite sectorial</t>
        </is>
      </c>
      <c r="D21" s="27" t="n">
        <v>0.1860835797245073</v>
      </c>
      <c r="E21" s="27" t="n">
        <v>0.2511062917863702</v>
      </c>
      <c r="F21" s="35" t="n">
        <v>0.7418963317954935</v>
      </c>
      <c r="G21" s="27" t="n">
        <v>-0.339529119051471</v>
      </c>
      <c r="H21" s="35" t="n">
        <v>0.8671161935499193</v>
      </c>
      <c r="I21" s="35" t="n">
        <v>0.7080793379865697</v>
      </c>
    </row>
    <row r="22">
      <c r="B22" s="26" t="inlineStr">
        <is>
          <t>Low-Volatility</t>
        </is>
      </c>
      <c r="C22" s="26" t="inlineStr">
        <is>
          <t>BASE (vigente)</t>
        </is>
      </c>
      <c r="D22" s="27" t="n">
        <v>0.1071607336590132</v>
      </c>
      <c r="E22" s="27" t="n">
        <v>0.1196037480284665</v>
      </c>
      <c r="F22" s="35" t="n">
        <v>0.7779830876441269</v>
      </c>
      <c r="G22" s="27" t="n">
        <v>-0.178478223989074</v>
      </c>
      <c r="H22" s="35" t="n">
        <v>1.26959797494853</v>
      </c>
      <c r="I22" s="35" t="n">
        <v>0.414950962195366</v>
      </c>
    </row>
    <row r="23">
      <c r="B23" s="26" t="inlineStr">
        <is>
          <t>Low-Volatility</t>
        </is>
      </c>
      <c r="C23" s="26" t="inlineStr">
        <is>
          <t>Top 15</t>
        </is>
      </c>
      <c r="D23" s="27" t="n">
        <v>0.1049851840260618</v>
      </c>
      <c r="E23" s="27" t="n">
        <v>0.1191292704757851</v>
      </c>
      <c r="F23" s="35" t="n">
        <v>0.764087168870037</v>
      </c>
      <c r="G23" s="27" t="n">
        <v>-0.1917684230051809</v>
      </c>
      <c r="H23" s="35" t="n">
        <v>1.330003503097355</v>
      </c>
      <c r="I23" s="35" t="n">
        <v>0.3736197960215651</v>
      </c>
    </row>
    <row r="24">
      <c r="B24" s="26" t="inlineStr">
        <is>
          <t>Low-Volatility</t>
        </is>
      </c>
      <c r="C24" s="26" t="inlineStr">
        <is>
          <t>Top 20</t>
        </is>
      </c>
      <c r="D24" s="27" t="n">
        <v>0.1099213433553907</v>
      </c>
      <c r="E24" s="27" t="n">
        <v>0.1205025935540314</v>
      </c>
      <c r="F24" s="35" t="n">
        <v>0.7943388498703335</v>
      </c>
      <c r="G24" s="27" t="n">
        <v>-0.2218669667718853</v>
      </c>
      <c r="H24" s="35" t="n">
        <v>1.442002591828255</v>
      </c>
      <c r="I24" s="35" t="n">
        <v>0.3681967632666255</v>
      </c>
    </row>
    <row r="25">
      <c r="B25" s="26" t="inlineStr">
        <is>
          <t>Low-Volatility</t>
        </is>
      </c>
      <c r="C25" s="26" t="inlineStr">
        <is>
          <t>Límite sectorial 30%</t>
        </is>
      </c>
      <c r="D25" s="27" t="n">
        <v>0.1065487985195943</v>
      </c>
      <c r="E25" s="27" t="n">
        <v>0.1195452686640131</v>
      </c>
      <c r="F25" s="35" t="n">
        <v>0.7736064056595894</v>
      </c>
      <c r="G25" s="27" t="n">
        <v>-0.1883155129243835</v>
      </c>
      <c r="H25" s="35" t="n">
        <v>1.367333697321991</v>
      </c>
      <c r="I25" s="35" t="n">
        <v>0.3479551275403887</v>
      </c>
    </row>
    <row r="26">
      <c r="B26" s="26" t="inlineStr">
        <is>
          <t>Low-Volatility</t>
        </is>
      </c>
      <c r="C26" s="26" t="inlineStr">
        <is>
          <t>Sin límite sectorial</t>
        </is>
      </c>
      <c r="D26" s="27" t="n">
        <v>0.102522245457884</v>
      </c>
      <c r="E26" s="27" t="n">
        <v>0.1180876784057499</v>
      </c>
      <c r="F26" s="35" t="n">
        <v>0.7506915125953401</v>
      </c>
      <c r="G26" s="27" t="n">
        <v>-0.1852945084528574</v>
      </c>
      <c r="H26" s="35" t="n">
        <v>1.354807674306216</v>
      </c>
      <c r="I26" s="35" t="n">
        <v>0.2916776081952792</v>
      </c>
    </row>
    <row r="27">
      <c r="B27" s="26" t="inlineStr">
        <is>
          <t>Commodities</t>
        </is>
      </c>
      <c r="C27" s="26" t="inlineStr">
        <is>
          <t>BASE (vigente, 5 ETF)</t>
        </is>
      </c>
      <c r="D27" s="27" t="n">
        <v>0.0794591400739184</v>
      </c>
      <c r="E27" s="27" t="n">
        <v>0.1698691890165765</v>
      </c>
      <c r="F27" s="35" t="n">
        <v>0.4395103827339811</v>
      </c>
      <c r="G27" s="27" t="n">
        <v>-0.3143638938037138</v>
      </c>
      <c r="H27" s="35" t="n">
        <v>0.2983839157018728</v>
      </c>
      <c r="I27" s="35" t="n">
        <v>0.550709097351273</v>
      </c>
    </row>
    <row r="28">
      <c r="B28" s="26" t="inlineStr">
        <is>
          <t>Commodities</t>
        </is>
      </c>
      <c r="C28" s="26" t="inlineStr">
        <is>
          <t>Universo original 3 ETF (GLD, USO, DBA)</t>
        </is>
      </c>
      <c r="D28" s="27" t="n">
        <v>0.0408344057611338</v>
      </c>
      <c r="E28" s="27" t="n">
        <v>0.1472090238917686</v>
      </c>
      <c r="F28" s="35" t="n">
        <v>0.2345053606166155</v>
      </c>
      <c r="G28" s="27" t="n">
        <v>-0.3283412791492726</v>
      </c>
      <c r="H28" s="35" t="n">
        <v>0.0151772684257588</v>
      </c>
      <c r="I28" s="35" t="n">
        <v>0.3598376958180889</v>
      </c>
    </row>
    <row r="29">
      <c r="B29" s="26" t="inlineStr">
        <is>
          <t>Commodities</t>
        </is>
      </c>
      <c r="C29" s="26" t="inlineStr">
        <is>
          <t>Umbrales a la mitad</t>
        </is>
      </c>
      <c r="D29" s="27" t="n">
        <v>0.052424311770701</v>
      </c>
      <c r="E29" s="27" t="n">
        <v>0.1760078857216676</v>
      </c>
      <c r="F29" s="35" t="n">
        <v>0.2853528449835275</v>
      </c>
      <c r="G29" s="27" t="n">
        <v>-0.3365634138032613</v>
      </c>
      <c r="H29" s="35" t="n">
        <v>-0.2650045628680707</v>
      </c>
      <c r="I29" s="35" t="n">
        <v>0.7377591238543224</v>
      </c>
    </row>
    <row r="30">
      <c r="B30" s="26" t="inlineStr">
        <is>
          <t>Commodities</t>
        </is>
      </c>
      <c r="C30" s="26" t="inlineStr">
        <is>
          <t>Umbrales en cero (solo tendencia)</t>
        </is>
      </c>
      <c r="D30" s="27" t="n">
        <v>0.0432542159789195</v>
      </c>
      <c r="E30" s="27" t="n">
        <v>0.1853700970805975</v>
      </c>
      <c r="F30" s="35" t="n">
        <v>0.2332919113259554</v>
      </c>
      <c r="G30" s="27" t="n">
        <v>-0.3727122230409486</v>
      </c>
      <c r="H30" s="35" t="n">
        <v>-0.261426265273153</v>
      </c>
      <c r="I30" s="35" t="n">
        <v>0.6580800123819319</v>
      </c>
    </row>
    <row r="31">
      <c r="B31" s="26" t="inlineStr">
        <is>
          <t>Commodities</t>
        </is>
      </c>
      <c r="C31" s="26" t="inlineStr">
        <is>
          <t>Sin límite de volatilidad</t>
        </is>
      </c>
      <c r="D31" s="27" t="n">
        <v>0.0808961593219546</v>
      </c>
      <c r="E31" s="27" t="n">
        <v>0.1689579956330707</v>
      </c>
      <c r="F31" s="35" t="n">
        <v>0.448856748884495</v>
      </c>
      <c r="G31" s="27" t="n">
        <v>-0.3013141802469549</v>
      </c>
      <c r="H31" s="35" t="n">
        <v>0.2983839157018728</v>
      </c>
      <c r="I31" s="35" t="n">
        <v>0.5665869362474195</v>
      </c>
    </row>
    <row r="33">
      <c r="B33" s="25" t="inlineStr">
        <is>
          <t>Walk-forward: calibrar con 2013-2019, evaluar 2020-2026</t>
        </is>
      </c>
    </row>
    <row r="34">
      <c r="B34" s="4" t="inlineStr">
        <is>
          <t>Cartera</t>
        </is>
      </c>
      <c r="C34" s="4" t="inlineStr">
        <is>
          <t>Período</t>
        </is>
      </c>
      <c r="D34" s="4" t="inlineStr">
        <is>
          <t>CAGR</t>
        </is>
      </c>
      <c r="E34" s="4" t="inlineStr">
        <is>
          <t>Volatilidad</t>
        </is>
      </c>
      <c r="F34" s="4" t="inlineStr">
        <is>
          <t>Sharpe</t>
        </is>
      </c>
      <c r="G34" s="4" t="inlineStr">
        <is>
          <t>Máx. caída</t>
        </is>
      </c>
      <c r="H34" s="4" t="inlineStr">
        <is>
          <t>w SPY</t>
        </is>
      </c>
      <c r="I34" s="4" t="inlineStr">
        <is>
          <t>w TLH</t>
        </is>
      </c>
      <c r="J34" s="4" t="inlineStr">
        <is>
          <t>w VCLT</t>
        </is>
      </c>
      <c r="K34" s="4" t="inlineStr">
        <is>
          <t>w MOM_CMD</t>
        </is>
      </c>
      <c r="L34" s="4" t="inlineStr">
        <is>
          <t>w MOM_EQ</t>
        </is>
      </c>
      <c r="M34" s="4" t="inlineStr">
        <is>
          <t>w LOW_VOL</t>
        </is>
      </c>
    </row>
    <row r="35">
      <c r="B35" s="26" t="inlineStr">
        <is>
          <t>Markowitz optimizado con 2013-2019</t>
        </is>
      </c>
      <c r="C35" s="26" t="inlineStr">
        <is>
          <t>Dentro de muestra 2013-2019</t>
        </is>
      </c>
      <c r="D35" s="27" t="n">
        <v>0.1056683972588288</v>
      </c>
      <c r="E35" s="27" t="n">
        <v>0.06635176055928342</v>
      </c>
      <c r="F35" s="35" t="n">
        <v>1.461430573004824</v>
      </c>
      <c r="G35" s="27" t="n">
        <v>-0.0460137448781982</v>
      </c>
      <c r="H35" s="27" t="n">
        <v>0.358435830256219</v>
      </c>
      <c r="I35" s="27" t="n">
        <v>0.2615641697437812</v>
      </c>
      <c r="J35" s="27" t="n">
        <v>0.08000000000000007</v>
      </c>
      <c r="K35" s="27" t="n">
        <v>0.01899726358852188</v>
      </c>
      <c r="L35" s="27" t="n">
        <v>9.420598977226365e-18</v>
      </c>
      <c r="M35" s="27" t="n">
        <v>0.2810027364114779</v>
      </c>
    </row>
    <row r="36">
      <c r="B36" s="26" t="inlineStr">
        <is>
          <t>Markowitz optimizado con 2013-2019</t>
        </is>
      </c>
      <c r="C36" s="26" t="inlineStr">
        <is>
          <t>Fuera de muestra 2020-2026</t>
        </is>
      </c>
      <c r="D36" s="27" t="n">
        <v>0.07451327970622912</v>
      </c>
      <c r="E36" s="27" t="n">
        <v>0.1150494337883121</v>
      </c>
      <c r="F36" s="35" t="n">
        <v>0.4487279385991261</v>
      </c>
      <c r="G36" s="27" t="n">
        <v>-0.2054213155617235</v>
      </c>
      <c r="H36" s="27" t="n">
        <v>0.358435830256219</v>
      </c>
      <c r="I36" s="27" t="n">
        <v>0.2615641697437812</v>
      </c>
      <c r="J36" s="27" t="n">
        <v>0.08000000000000007</v>
      </c>
      <c r="K36" s="27" t="n">
        <v>0.01899726358852188</v>
      </c>
      <c r="L36" s="27" t="n">
        <v>9.420598977226365e-18</v>
      </c>
      <c r="M36" s="27" t="n">
        <v>0.2810027364114779</v>
      </c>
    </row>
    <row r="37">
      <c r="B37" s="26" t="inlineStr">
        <is>
          <t>Black-Litterman calibrado con 2013-2019</t>
        </is>
      </c>
      <c r="C37" s="26" t="inlineStr">
        <is>
          <t>Dentro de muestra 2013-2019</t>
        </is>
      </c>
      <c r="D37" s="27" t="n">
        <v>0.1201605662353227</v>
      </c>
      <c r="E37" s="27" t="n">
        <v>0.08078473629468852</v>
      </c>
      <c r="F37" s="35" t="n">
        <v>1.376057264846617</v>
      </c>
      <c r="G37" s="27" t="n">
        <v>-0.09316344913239971</v>
      </c>
      <c r="H37" s="27" t="n">
        <v>0.4866785405108329</v>
      </c>
      <c r="I37" s="27" t="n">
        <v>0.06694614518411453</v>
      </c>
      <c r="J37" s="27" t="n">
        <v>0.1463753143050525</v>
      </c>
      <c r="K37" s="27" t="n">
        <v>0.05261026341305634</v>
      </c>
      <c r="L37" s="27" t="n">
        <v>0.07500785508530076</v>
      </c>
      <c r="M37" s="27" t="n">
        <v>0.172381881501643</v>
      </c>
    </row>
    <row r="38">
      <c r="B38" s="26" t="inlineStr">
        <is>
          <t>Black-Litterman calibrado con 2013-2019</t>
        </is>
      </c>
      <c r="C38" s="26" t="inlineStr">
        <is>
          <t>Fuera de muestra 2020-2026</t>
        </is>
      </c>
      <c r="D38" s="27" t="n">
        <v>0.1107305716741742</v>
      </c>
      <c r="E38" s="27" t="n">
        <v>0.1342923509014071</v>
      </c>
      <c r="F38" s="35" t="n">
        <v>0.6508471161950883</v>
      </c>
      <c r="G38" s="27" t="n">
        <v>-0.2049027828024217</v>
      </c>
      <c r="H38" s="27" t="n">
        <v>0.4866785405108329</v>
      </c>
      <c r="I38" s="27" t="n">
        <v>0.06694614518411453</v>
      </c>
      <c r="J38" s="27" t="n">
        <v>0.1463753143050525</v>
      </c>
      <c r="K38" s="27" t="n">
        <v>0.05261026341305634</v>
      </c>
      <c r="L38" s="27" t="n">
        <v>0.07500785508530076</v>
      </c>
      <c r="M38" s="27" t="n">
        <v>0.172381881501643</v>
      </c>
    </row>
    <row r="39">
      <c r="B39" s="26" t="inlineStr">
        <is>
          <t>Pesos aprobados (BL del modelo)</t>
        </is>
      </c>
      <c r="C39" s="26" t="inlineStr">
        <is>
          <t>Dentro de muestra 2013-2019</t>
        </is>
      </c>
      <c r="D39" s="27" t="n">
        <v>0.1076165503518789</v>
      </c>
      <c r="E39" s="27" t="n">
        <v>0.07063954557060094</v>
      </c>
      <c r="F39" s="35" t="n">
        <v>1.402045917807898</v>
      </c>
      <c r="G39" s="27" t="n">
        <v>-0.07575987225359548</v>
      </c>
      <c r="H39" s="27" t="n">
        <v>0.3789</v>
      </c>
      <c r="I39" s="27" t="n">
        <v>0.1687</v>
      </c>
      <c r="J39" s="27" t="n">
        <v>0.146</v>
      </c>
      <c r="K39" s="27" t="n">
        <v>0.0611</v>
      </c>
      <c r="L39" s="27" t="n">
        <v>0.0706</v>
      </c>
      <c r="M39" s="27" t="n">
        <v>0.1746</v>
      </c>
    </row>
    <row r="40">
      <c r="B40" s="26" t="inlineStr">
        <is>
          <t>Pesos aprobados (BL del modelo)</t>
        </is>
      </c>
      <c r="C40" s="26" t="inlineStr">
        <is>
          <t>Fuera de muestra 2020-2026</t>
        </is>
      </c>
      <c r="D40" s="27" t="n">
        <v>0.09192386962219334</v>
      </c>
      <c r="E40" s="27" t="n">
        <v>0.1225932856905927</v>
      </c>
      <c r="F40" s="35" t="n">
        <v>0.5603457910887776</v>
      </c>
      <c r="G40" s="27" t="n">
        <v>-0.2047527980997258</v>
      </c>
      <c r="H40" s="27" t="n">
        <v>0.3789</v>
      </c>
      <c r="I40" s="27" t="n">
        <v>0.1687</v>
      </c>
      <c r="J40" s="27" t="n">
        <v>0.146</v>
      </c>
      <c r="K40" s="27" t="n">
        <v>0.0611</v>
      </c>
      <c r="L40" s="27" t="n">
        <v>0.0706</v>
      </c>
      <c r="M40" s="27" t="n">
        <v>0.1746</v>
      </c>
    </row>
    <row r="41">
      <c r="B41" s="26" t="inlineStr">
        <is>
          <t>Pesos iguales (1/6)</t>
        </is>
      </c>
      <c r="C41" s="26" t="inlineStr">
        <is>
          <t>Dentro de muestra 2013-2019</t>
        </is>
      </c>
      <c r="D41" s="27" t="n">
        <v>0.09514750222399959</v>
      </c>
      <c r="E41" s="27" t="n">
        <v>0.07086657355337828</v>
      </c>
      <c r="F41" s="35" t="n">
        <v>1.236799175834327</v>
      </c>
      <c r="G41" s="27" t="n">
        <v>-0.08665253735304079</v>
      </c>
      <c r="H41" s="27" t="n">
        <v>0.1666666666666667</v>
      </c>
      <c r="I41" s="27" t="n">
        <v>0.1666666666666667</v>
      </c>
      <c r="J41" s="27" t="n">
        <v>0.1666666666666667</v>
      </c>
      <c r="K41" s="27" t="n">
        <v>0.1666666666666667</v>
      </c>
      <c r="L41" s="27" t="n">
        <v>0.1666666666666667</v>
      </c>
      <c r="M41" s="27" t="n">
        <v>0.1666666666666667</v>
      </c>
    </row>
    <row r="42">
      <c r="B42" s="26" t="inlineStr">
        <is>
          <t>Pesos iguales (1/6)</t>
        </is>
      </c>
      <c r="C42" s="26" t="inlineStr">
        <is>
          <t>Fuera de muestra 2020-2026</t>
        </is>
      </c>
      <c r="D42" s="27" t="n">
        <v>0.09313714939062812</v>
      </c>
      <c r="E42" s="27" t="n">
        <v>0.1190866094152181</v>
      </c>
      <c r="F42" s="35" t="n">
        <v>0.5825556497243263</v>
      </c>
      <c r="G42" s="27" t="n">
        <v>-0.1733566150421731</v>
      </c>
      <c r="H42" s="27" t="n">
        <v>0.1666666666666667</v>
      </c>
      <c r="I42" s="27" t="n">
        <v>0.1666666666666667</v>
      </c>
      <c r="J42" s="27" t="n">
        <v>0.1666666666666667</v>
      </c>
      <c r="K42" s="27" t="n">
        <v>0.1666666666666667</v>
      </c>
      <c r="L42" s="27" t="n">
        <v>0.1666666666666667</v>
      </c>
      <c r="M42" s="27" t="n">
        <v>0.1666666666666667</v>
      </c>
    </row>
    <row r="44">
      <c r="B44" s="25" t="inlineStr">
        <is>
          <t>Sensibilidad al universo de commodities (control del sesgo de selección)</t>
        </is>
      </c>
    </row>
    <row r="45">
      <c r="B45" s="4" t="inlineStr">
        <is>
          <t>Universo</t>
        </is>
      </c>
      <c r="C45" s="4" t="inlineStr">
        <is>
          <t>Cartera CAGR</t>
        </is>
      </c>
      <c r="D45" s="4" t="inlineStr">
        <is>
          <t>Cartera Sharpe</t>
        </is>
      </c>
      <c r="E45" s="4" t="inlineStr">
        <is>
          <t>Cartera máx. caída</t>
        </is>
      </c>
      <c r="F45" s="4" t="inlineStr">
        <is>
          <t>P(3 objetivos) histórico</t>
        </is>
      </c>
      <c r="G45" s="4" t="inlineStr">
        <is>
          <t>Peso BL recalibrado commodities</t>
        </is>
      </c>
    </row>
    <row r="46">
      <c r="B46" s="26" t="inlineStr">
        <is>
          <t>5 ETF (vigente: GLD, USO, DBA, SLV, CPER)</t>
        </is>
      </c>
      <c r="C46" s="27" t="n">
        <v>0.09993360885041302</v>
      </c>
      <c r="D46" s="35" t="n">
        <v>0.8497646103824529</v>
      </c>
      <c r="E46" s="27" t="n">
        <v>-0.2047527980997259</v>
      </c>
      <c r="F46" s="27" t="n">
        <v>0.95955</v>
      </c>
      <c r="G46" s="27" t="n">
        <v>0.06594458452445751</v>
      </c>
    </row>
    <row r="47">
      <c r="B47" s="26" t="inlineStr">
        <is>
          <t>3 ETF (original: GLD, USO, DBA)</t>
        </is>
      </c>
      <c r="C47" s="27" t="n">
        <v>0.09736940269919536</v>
      </c>
      <c r="D47" s="35" t="n">
        <v>0.8336929616319234</v>
      </c>
      <c r="E47" s="27" t="n">
        <v>-0.2042303300441655</v>
      </c>
      <c r="F47" s="27" t="n">
        <v>0.9477</v>
      </c>
      <c r="G47" s="27" t="n">
        <v>0.1014848299326839</v>
      </c>
    </row>
    <row r="49">
      <c r="B49" s="25" t="inlineStr">
        <is>
          <t>Sesgos y limitaciones declarados</t>
        </is>
      </c>
    </row>
    <row r="50">
      <c r="B50" s="6" t="inlineStr">
        <is>
          <t>• Supervivencia: controlado con membresía histórica del S&amp;P 500 (point-in-time).</t>
        </is>
      </c>
    </row>
    <row r="51">
      <c r="B51" s="6" t="inlineStr">
        <is>
          <t>• Anticipación: señal al cierre de t, retorno desde t+1. Limitación: clasificación GICS actual (no histórica) en el límite sectorial; afecta sobre todo antes de 2016 y a ~3% de posiciones sin clasificar.</t>
        </is>
      </c>
    </row>
    <row r="52">
      <c r="B52" s="6" t="inlineStr">
        <is>
          <t>• Datos faltantes: un precio faltante en el mes se trata como 0% en esa posición (antes eliminaba el mes completo en Low-Vol).</t>
        </is>
      </c>
    </row>
    <row r="53">
      <c r="B53" s="6" t="inlineStr">
        <is>
          <t>• Selección del universo de commodities: SLV y CPER se agregaron mirando el backtest (sesgo de selección). Se reporta el universo original de 3 ETF como control.</t>
        </is>
      </c>
    </row>
    <row r="54">
      <c r="B54" s="6" t="inlineStr">
        <is>
          <t>• Costos: convención de un lado (0,1% sobre ½·Σ|Δw|); la sensibilidad con ambos lados se muestra arriba.</t>
        </is>
      </c>
    </row>
    <row r="55">
      <c r="B55" s="6" t="inlineStr">
        <is>
          <t>• Montecarlo: bootstrap independiente (no captura regímenes ni autocorrelación); supuestos prospectivos propios, no pronósticos.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D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95" customWidth="1" min="3" max="3"/>
    <col width="75" customWidth="1" min="4" max="4"/>
  </cols>
  <sheetData>
    <row r="2">
      <c r="B2" s="1" t="inlineStr">
        <is>
          <t>Bitácora de auditoría del modelo original (Modelo_Nexum_Final.xlsx)</t>
        </is>
      </c>
    </row>
    <row r="5">
      <c r="B5" s="4" t="inlineStr">
        <is>
          <t>Gravedad</t>
        </is>
      </c>
      <c r="C5" s="4" t="inlineStr">
        <is>
          <t>Hallazgo</t>
        </is>
      </c>
      <c r="D5" s="4" t="inlineStr">
        <is>
          <t>Corrección en v2</t>
        </is>
      </c>
    </row>
    <row r="6">
      <c r="A6" s="51" t="n"/>
      <c r="B6" s="52" t="inlineStr">
        <is>
          <t>Alta</t>
        </is>
      </c>
      <c r="C6" s="52" t="inlineStr">
        <is>
          <t>Fórmulas sin valores guardados (archivo escrito por código, nunca recalculado)</t>
        </is>
      </c>
      <c r="D6" s="52" t="inlineStr">
        <is>
          <t>Este archivo se recalcula y guarda en Excel antes de entregarse</t>
        </is>
      </c>
    </row>
    <row r="7">
      <c r="A7" s="51" t="n"/>
      <c r="B7" s="52" t="inlineStr">
        <is>
          <t>Alta</t>
        </is>
      </c>
      <c r="C7" s="52" t="inlineStr">
        <is>
          <t>Mezcla de dos arquitecturas: hojas y textos del diseño anterior con calce LDI de Educación (03, 05, partes de 02, 04, 09)</t>
        </is>
      </c>
      <c r="D7" s="52" t="inlineStr">
        <is>
          <t>Se eliminan; el modelo describe solo la cartera única</t>
        </is>
      </c>
    </row>
    <row r="8">
      <c r="A8" s="51" t="n"/>
      <c r="B8" s="52" t="inlineStr">
        <is>
          <t>Alta</t>
        </is>
      </c>
      <c r="C8" s="52" t="inlineStr">
        <is>
          <t>Referencias a 'BAB_EQ' (Betting Against Beta) en 05_Datos_Historicos</t>
        </is>
      </c>
      <c r="D8" s="52" t="inlineStr">
        <is>
          <t>Eliminadas; la estrategia se denomina Low-Volatility</t>
        </is>
      </c>
    </row>
    <row r="9">
      <c r="A9" s="51" t="n"/>
      <c r="B9" s="52" t="inlineStr">
        <is>
          <t>Alta</t>
        </is>
      </c>
      <c r="C9" s="52" t="inlineStr">
        <is>
          <t>Low-Vol devolvía NaN en jul-2018 y dic-2018; el modelo eliminó esos meses de las 6 series (162 en vez de 164 meses)</t>
        </is>
      </c>
      <c r="D9" s="52" t="inlineStr">
        <is>
          <t>Dato faltante = 0% en esa posición; ventana completa de 164 meses</t>
        </is>
      </c>
    </row>
    <row r="10">
      <c r="A10" s="51" t="n"/>
      <c r="B10" s="52" t="inlineStr">
        <is>
          <t>Alta</t>
        </is>
      </c>
      <c r="C10" s="52" t="inlineStr">
        <is>
          <t>Filtro 'Sharpe 12m' de Momentum calculado con volatilidad de 1 mes en el backtest, pero con 12 meses en la operación (Senales_Hoy.py)</t>
        </is>
      </c>
      <c r="D10" s="52" t="inlineStr">
        <is>
          <t>Backtest con volatilidad de 12 meses (regla documentada = regla operada)</t>
        </is>
      </c>
    </row>
    <row r="11">
      <c r="A11" s="51" t="n"/>
      <c r="B11" s="52" t="inlineStr">
        <is>
          <t>Media</t>
        </is>
      </c>
      <c r="C11" s="52" t="inlineStr">
        <is>
          <t>Black-Litterman: columna π de la sección 5 desplazada una fila (=D32 en vez de =D31)</t>
        </is>
      </c>
      <c r="D11" s="52" t="inlineStr">
        <is>
          <t>π y μ_BL se calculan con fórmulas matriciales vivas</t>
        </is>
      </c>
    </row>
    <row r="12">
      <c r="A12" s="51" t="n"/>
      <c r="B12" s="52" t="inlineStr">
        <is>
          <t>Media</t>
        </is>
      </c>
      <c r="C12" s="52" t="inlineStr">
        <is>
          <t>μ_BL y pesos pegados como valores, no auditables en el Excel</t>
        </is>
      </c>
      <c r="D12" s="52" t="inlineStr">
        <is>
          <t>μ_BL con MMULT/MINVERSE; pesos de SLSQP marcados como resultado de Python</t>
        </is>
      </c>
    </row>
    <row r="13">
      <c r="A13" s="51" t="n"/>
      <c r="B13" s="52" t="inlineStr">
        <is>
          <t>Media</t>
        </is>
      </c>
      <c r="C13" s="52" t="inlineStr">
        <is>
          <t>Benchmarks inconsistentes entre hojas 04 y 08 (BCOM, S&amp;P Low Vol, S&amp;P Momentum vs mezcla, SPY, QMOM)</t>
        </is>
      </c>
      <c r="D13" s="52" t="inlineStr">
        <is>
          <t>Un solo benchmark por sleeve, invertible y del mismo universo (hoja 07)</t>
        </is>
      </c>
    </row>
    <row r="14">
      <c r="A14" s="51" t="n"/>
      <c r="B14" s="52" t="inlineStr">
        <is>
          <t>Media</t>
        </is>
      </c>
      <c r="C14" s="52" t="inlineStr">
        <is>
          <t>Universo de commodities ampliado de 3 a 5 ETF eligiendo la combinación que más subía el Sharpe del backtest</t>
        </is>
      </c>
      <c r="D14" s="52" t="inlineStr">
        <is>
          <t>Declarado como sesgo de selección; control con universo de 3 ETF en 09</t>
        </is>
      </c>
    </row>
    <row r="15">
      <c r="A15" s="51" t="n"/>
      <c r="B15" s="52" t="inlineStr">
        <is>
          <t>Baja</t>
        </is>
      </c>
      <c r="C15" s="52" t="inlineStr">
        <is>
          <t>Métricas distintas para la misma estrategia según la hoja (p. ej. Sharpe Low-Vol 0,993 vs 0,81)</t>
        </is>
      </c>
      <c r="D15" s="52" t="inlineStr">
        <is>
          <t>Una sola convención: ventana 2013-2026 (o 2016-2026 vs benchmark), exceso sobre T-Bills</t>
        </is>
      </c>
    </row>
    <row r="16">
      <c r="A16" s="51" t="n"/>
      <c r="B16" s="52" t="inlineStr">
        <is>
          <t>Baja</t>
        </is>
      </c>
      <c r="C16" s="52" t="inlineStr">
        <is>
          <t>Falta el límite sectorial de 25% en la ficha de Momentum (sí estaba en el código)</t>
        </is>
      </c>
      <c r="D16" s="52" t="inlineStr">
        <is>
          <t>Incluido en 01_Supuestos</t>
        </is>
      </c>
    </row>
    <row r="17">
      <c r="A17" s="51" t="n"/>
      <c r="B17" s="52" t="inlineStr">
        <is>
          <t>Baja</t>
        </is>
      </c>
      <c r="C17" s="52" t="inlineStr">
        <is>
          <t>Notas 'PENDIENTE', 'Borrador' y 'Provisional' visibles</t>
        </is>
      </c>
      <c r="D17" s="52" t="inlineStr">
        <is>
          <t>Eliminadas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2026-10-11T18:38:43Z</dcterms:created>
  <dcterms:modified xmlns:dcterms="http://purl.org/dc/terms/" xmlns:xsi="http://www.w3.org/2001/XMLSchema-instance" xsi:type="dcterms:W3CDTF">2026-10-11T18:38:44Z</dcterms:modified>
</cp:coreProperties>
</file>