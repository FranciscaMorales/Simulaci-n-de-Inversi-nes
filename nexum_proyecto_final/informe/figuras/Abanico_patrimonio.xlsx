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órico" sheetId="1" state="visible" r:id="rId1"/>
    <sheet xmlns:r="http://schemas.openxmlformats.org/officeDocument/2006/relationships" name="Prospectiv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Abanico del patrimonio — Retornos históricos 2013-2026</a:t>
            </a:r>
          </a:p>
        </rich>
      </tx>
    </title>
    <plotArea>
      <areaChart>
        <grouping val="stacked"/>
        <ser>
          <idx val="0"/>
          <order val="0"/>
          <tx>
            <strRef>
              <f>'Histórico'!H1</f>
            </strRef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cat>
            <numRef>
              <f>'Histórico'!$A$2:$A$52</f>
            </numRef>
          </cat>
          <val>
            <numRef>
              <f>'Histórico'!$H$2:$H$52</f>
            </numRef>
          </val>
        </ser>
        <ser>
          <idx val="1"/>
          <order val="1"/>
          <tx>
            <strRef>
              <f>'Histórico'!I1</f>
            </strRef>
          </tx>
          <spPr>
            <a:solidFill xmlns:a="http://schemas.openxmlformats.org/drawingml/2006/main">
              <a:srgbClr val="D6E4F7"/>
            </a:solidFill>
            <a:ln xmlns:a="http://schemas.openxmlformats.org/drawingml/2006/main">
              <a:noFill/>
              <a:prstDash val="solid"/>
            </a:ln>
          </spPr>
          <cat>
            <numRef>
              <f>'Histórico'!$A$2:$A$52</f>
            </numRef>
          </cat>
          <val>
            <numRef>
              <f>'Histórico'!$I$2:$I$52</f>
            </numRef>
          </val>
        </ser>
        <ser>
          <idx val="2"/>
          <order val="2"/>
          <tx>
            <strRef>
              <f>'Histórico'!J1</f>
            </strRef>
          </tx>
          <spPr>
            <a:solidFill xmlns:a="http://schemas.openxmlformats.org/drawingml/2006/main">
              <a:srgbClr val="A9C6EE"/>
            </a:solidFill>
            <a:ln xmlns:a="http://schemas.openxmlformats.org/drawingml/2006/main">
              <a:noFill/>
              <a:prstDash val="solid"/>
            </a:ln>
          </spPr>
          <cat>
            <numRef>
              <f>'Histórico'!$A$2:$A$52</f>
            </numRef>
          </cat>
          <val>
            <numRef>
              <f>'Histórico'!$J$2:$J$52</f>
            </numRef>
          </val>
        </ser>
        <ser>
          <idx val="3"/>
          <order val="3"/>
          <tx>
            <strRef>
              <f>'Histórico'!K1</f>
            </strRef>
          </tx>
          <spPr>
            <a:solidFill xmlns:a="http://schemas.openxmlformats.org/drawingml/2006/main">
              <a:srgbClr val="D6E4F7"/>
            </a:solidFill>
            <a:ln xmlns:a="http://schemas.openxmlformats.org/drawingml/2006/main">
              <a:noFill/>
              <a:prstDash val="solid"/>
            </a:ln>
          </spPr>
          <cat>
            <numRef>
              <f>'Histórico'!$A$2:$A$52</f>
            </numRef>
          </cat>
          <val>
            <numRef>
              <f>'Histórico'!$K$2:$K$52</f>
            </numRef>
          </val>
        </ser>
        <axId val="10"/>
        <axId val="100"/>
      </areaChart>
      <lineChart>
        <grouping val="standard"/>
        <ser>
          <idx val="4"/>
          <order val="4"/>
          <tx>
            <strRef>
              <f>'Histórico'!D1</f>
            </strRef>
          </tx>
          <spPr>
            <a:ln xmlns:a="http://schemas.openxmlformats.org/drawingml/2006/main" w="28575">
              <a:solidFill>
                <a:srgbClr val="2A78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'Histórico'!$A$2:$A$52</f>
            </numRef>
          </cat>
          <val>
            <numRef>
              <f>'Histórico'!$D$2:$D$52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Año</a:t>
                </a:r>
              </a:p>
            </rich>
          </tx>
        </title>
        <majorTickMark val="none"/>
        <minorTickMark val="none"/>
        <crossAx val="100"/>
        <lblOffset val="100"/>
        <tickLblSkip val="5"/>
        <tickMarkSkip val="5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Patrimonio (miles de USD de hoy)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b"/>
      <legendEntry>
        <idx val="0"/>
        <delete val="1"/>
      </legendEntry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Abanico del patrimonio — Supuestos prospectivos</a:t>
            </a:r>
          </a:p>
        </rich>
      </tx>
    </title>
    <plotArea>
      <areaChart>
        <grouping val="stacked"/>
        <ser>
          <idx val="0"/>
          <order val="0"/>
          <tx>
            <strRef>
              <f>'Prospectivo'!H1</f>
            </strRef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cat>
            <numRef>
              <f>'Prospectivo'!$A$2:$A$52</f>
            </numRef>
          </cat>
          <val>
            <numRef>
              <f>'Prospectivo'!$H$2:$H$52</f>
            </numRef>
          </val>
        </ser>
        <ser>
          <idx val="1"/>
          <order val="1"/>
          <tx>
            <strRef>
              <f>'Prospectivo'!I1</f>
            </strRef>
          </tx>
          <spPr>
            <a:solidFill xmlns:a="http://schemas.openxmlformats.org/drawingml/2006/main">
              <a:srgbClr val="D6E4F7"/>
            </a:solidFill>
            <a:ln xmlns:a="http://schemas.openxmlformats.org/drawingml/2006/main">
              <a:noFill/>
              <a:prstDash val="solid"/>
            </a:ln>
          </spPr>
          <cat>
            <numRef>
              <f>'Prospectivo'!$A$2:$A$52</f>
            </numRef>
          </cat>
          <val>
            <numRef>
              <f>'Prospectivo'!$I$2:$I$52</f>
            </numRef>
          </val>
        </ser>
        <ser>
          <idx val="2"/>
          <order val="2"/>
          <tx>
            <strRef>
              <f>'Prospectivo'!J1</f>
            </strRef>
          </tx>
          <spPr>
            <a:solidFill xmlns:a="http://schemas.openxmlformats.org/drawingml/2006/main">
              <a:srgbClr val="A9C6EE"/>
            </a:solidFill>
            <a:ln xmlns:a="http://schemas.openxmlformats.org/drawingml/2006/main">
              <a:noFill/>
              <a:prstDash val="solid"/>
            </a:ln>
          </spPr>
          <cat>
            <numRef>
              <f>'Prospectivo'!$A$2:$A$52</f>
            </numRef>
          </cat>
          <val>
            <numRef>
              <f>'Prospectivo'!$J$2:$J$52</f>
            </numRef>
          </val>
        </ser>
        <ser>
          <idx val="3"/>
          <order val="3"/>
          <tx>
            <strRef>
              <f>'Prospectivo'!K1</f>
            </strRef>
          </tx>
          <spPr>
            <a:solidFill xmlns:a="http://schemas.openxmlformats.org/drawingml/2006/main">
              <a:srgbClr val="D6E4F7"/>
            </a:solidFill>
            <a:ln xmlns:a="http://schemas.openxmlformats.org/drawingml/2006/main">
              <a:noFill/>
              <a:prstDash val="solid"/>
            </a:ln>
          </spPr>
          <cat>
            <numRef>
              <f>'Prospectivo'!$A$2:$A$52</f>
            </numRef>
          </cat>
          <val>
            <numRef>
              <f>'Prospectivo'!$K$2:$K$52</f>
            </numRef>
          </val>
        </ser>
        <axId val="10"/>
        <axId val="100"/>
      </areaChart>
      <lineChart>
        <grouping val="standard"/>
        <ser>
          <idx val="4"/>
          <order val="4"/>
          <tx>
            <strRef>
              <f>'Prospectivo'!D1</f>
            </strRef>
          </tx>
          <spPr>
            <a:ln xmlns:a="http://schemas.openxmlformats.org/drawingml/2006/main" w="28575">
              <a:solidFill>
                <a:srgbClr val="2A78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'Prospectivo'!$A$2:$A$52</f>
            </numRef>
          </cat>
          <val>
            <numRef>
              <f>'Prospectivo'!$D$2:$D$52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Año</a:t>
                </a:r>
              </a:p>
            </rich>
          </tx>
        </title>
        <majorTickMark val="none"/>
        <minorTickMark val="none"/>
        <crossAx val="100"/>
        <lblOffset val="100"/>
        <tickLblSkip val="5"/>
        <tickMarkSkip val="5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Patrimonio (miles de USD de hoy)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b"/>
      <legendEntry>
        <idx val="0"/>
        <delete val="1"/>
      </legendEntry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12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12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cols>
    <col width="8" customWidth="1" min="1" max="1"/>
  </cols>
  <sheetData>
    <row r="1">
      <c r="A1" s="1" t="inlineStr">
        <is>
          <t>Año</t>
        </is>
      </c>
      <c r="B1" s="1" t="inlineStr">
        <is>
          <t>P10</t>
        </is>
      </c>
      <c r="C1" s="1" t="inlineStr">
        <is>
          <t>P25</t>
        </is>
      </c>
      <c r="D1" s="1" t="inlineStr">
        <is>
          <t>P50 (mediana)</t>
        </is>
      </c>
      <c r="E1" s="1" t="inlineStr">
        <is>
          <t>P75</t>
        </is>
      </c>
      <c r="F1" s="1" t="inlineStr">
        <is>
          <t>P90</t>
        </is>
      </c>
      <c r="G1" s="1" t="inlineStr"/>
      <c r="H1" s="1" t="inlineStr">
        <is>
          <t>Base (P10)</t>
        </is>
      </c>
      <c r="I1" s="1" t="inlineStr">
        <is>
          <t>P10-P25</t>
        </is>
      </c>
      <c r="J1" s="1" t="inlineStr">
        <is>
          <t>P25-P75</t>
        </is>
      </c>
      <c r="K1" s="1" t="inlineStr">
        <is>
          <t>P75-P90</t>
        </is>
      </c>
    </row>
    <row r="2">
      <c r="A2" t="n">
        <v>0</v>
      </c>
      <c r="B2" s="2" t="n">
        <v>144</v>
      </c>
      <c r="C2" s="2" t="n">
        <v>144</v>
      </c>
      <c r="D2" s="2" t="n">
        <v>144</v>
      </c>
      <c r="E2" s="2" t="n">
        <v>144</v>
      </c>
      <c r="F2" s="2" t="n">
        <v>144</v>
      </c>
      <c r="G2" s="2" t="n"/>
      <c r="H2" s="2">
        <f>B2</f>
        <v/>
      </c>
      <c r="I2" s="2">
        <f>C2-B2</f>
        <v/>
      </c>
      <c r="J2" s="2">
        <f>E2-C2</f>
        <v/>
      </c>
      <c r="K2" s="2">
        <f>F2-E2</f>
        <v/>
      </c>
    </row>
    <row r="3">
      <c r="A3" t="n">
        <v>1</v>
      </c>
      <c r="B3" s="2" t="n">
        <v>136.5</v>
      </c>
      <c r="C3" s="2" t="n">
        <v>145.5</v>
      </c>
      <c r="D3" s="2" t="n">
        <v>155.7</v>
      </c>
      <c r="E3" s="2" t="n">
        <v>166.3</v>
      </c>
      <c r="F3" s="2" t="n">
        <v>176.1</v>
      </c>
      <c r="G3" s="2" t="n"/>
      <c r="H3" s="2">
        <f>B3</f>
        <v/>
      </c>
      <c r="I3" s="2">
        <f>C3-B3</f>
        <v/>
      </c>
      <c r="J3" s="2">
        <f>E3-C3</f>
        <v/>
      </c>
      <c r="K3" s="2">
        <f>F3-E3</f>
        <v/>
      </c>
    </row>
    <row r="4">
      <c r="A4" t="n">
        <v>2</v>
      </c>
      <c r="B4" s="2" t="n">
        <v>149.7</v>
      </c>
      <c r="C4" s="2" t="n">
        <v>162.7</v>
      </c>
      <c r="D4" s="2" t="n">
        <v>178.6</v>
      </c>
      <c r="E4" s="2" t="n">
        <v>195.2</v>
      </c>
      <c r="F4" s="2" t="n">
        <v>211.6</v>
      </c>
      <c r="G4" s="2" t="n"/>
      <c r="H4" s="2">
        <f>B4</f>
        <v/>
      </c>
      <c r="I4" s="2">
        <f>C4-B4</f>
        <v/>
      </c>
      <c r="J4" s="2">
        <f>E4-C4</f>
        <v/>
      </c>
      <c r="K4" s="2">
        <f>F4-E4</f>
        <v/>
      </c>
    </row>
    <row r="5">
      <c r="A5" t="n">
        <v>3</v>
      </c>
      <c r="B5" s="2" t="n">
        <v>165.3</v>
      </c>
      <c r="C5" s="2" t="n">
        <v>182.1</v>
      </c>
      <c r="D5" s="2" t="n">
        <v>203.3</v>
      </c>
      <c r="E5" s="2" t="n">
        <v>226.1</v>
      </c>
      <c r="F5" s="2" t="n">
        <v>248.4</v>
      </c>
      <c r="G5" s="2" t="n"/>
      <c r="H5" s="2">
        <f>B5</f>
        <v/>
      </c>
      <c r="I5" s="2">
        <f>C5-B5</f>
        <v/>
      </c>
      <c r="J5" s="2">
        <f>E5-C5</f>
        <v/>
      </c>
      <c r="K5" s="2">
        <f>F5-E5</f>
        <v/>
      </c>
    </row>
    <row r="6">
      <c r="A6" t="n">
        <v>4</v>
      </c>
      <c r="B6" s="2" t="n">
        <v>182.4</v>
      </c>
      <c r="C6" s="2" t="n">
        <v>203.5</v>
      </c>
      <c r="D6" s="2" t="n">
        <v>229.9</v>
      </c>
      <c r="E6" s="2" t="n">
        <v>258.9</v>
      </c>
      <c r="F6" s="2" t="n">
        <v>288.3</v>
      </c>
      <c r="G6" s="2" t="n"/>
      <c r="H6" s="2">
        <f>B6</f>
        <v/>
      </c>
      <c r="I6" s="2">
        <f>C6-B6</f>
        <v/>
      </c>
      <c r="J6" s="2">
        <f>E6-C6</f>
        <v/>
      </c>
      <c r="K6" s="2">
        <f>F6-E6</f>
        <v/>
      </c>
    </row>
    <row r="7">
      <c r="A7" t="n">
        <v>5</v>
      </c>
      <c r="B7" s="2" t="n">
        <v>199.7</v>
      </c>
      <c r="C7" s="2" t="n">
        <v>225.8</v>
      </c>
      <c r="D7" s="2" t="n">
        <v>258.5</v>
      </c>
      <c r="E7" s="2" t="n">
        <v>295.5</v>
      </c>
      <c r="F7" s="2" t="n">
        <v>332.3</v>
      </c>
      <c r="G7" s="2" t="n"/>
      <c r="H7" s="2">
        <f>B7</f>
        <v/>
      </c>
      <c r="I7" s="2">
        <f>C7-B7</f>
        <v/>
      </c>
      <c r="J7" s="2">
        <f>E7-C7</f>
        <v/>
      </c>
      <c r="K7" s="2">
        <f>F7-E7</f>
        <v/>
      </c>
    </row>
    <row r="8">
      <c r="A8" t="n">
        <v>6</v>
      </c>
      <c r="B8" s="2" t="n">
        <v>219.4</v>
      </c>
      <c r="C8" s="2" t="n">
        <v>250</v>
      </c>
      <c r="D8" s="2" t="n">
        <v>289.5</v>
      </c>
      <c r="E8" s="2" t="n">
        <v>333.7</v>
      </c>
      <c r="F8" s="2" t="n">
        <v>379.6</v>
      </c>
      <c r="G8" s="2" t="n"/>
      <c r="H8" s="2">
        <f>B8</f>
        <v/>
      </c>
      <c r="I8" s="2">
        <f>C8-B8</f>
        <v/>
      </c>
      <c r="J8" s="2">
        <f>E8-C8</f>
        <v/>
      </c>
      <c r="K8" s="2">
        <f>F8-E8</f>
        <v/>
      </c>
    </row>
    <row r="9">
      <c r="A9" t="n">
        <v>7</v>
      </c>
      <c r="B9" s="2" t="n">
        <v>240.4</v>
      </c>
      <c r="C9" s="2" t="n">
        <v>276.1</v>
      </c>
      <c r="D9" s="2" t="n">
        <v>322.9</v>
      </c>
      <c r="E9" s="2" t="n">
        <v>376.4</v>
      </c>
      <c r="F9" s="2" t="n">
        <v>432.8</v>
      </c>
      <c r="G9" s="2" t="n"/>
      <c r="H9" s="2">
        <f>B9</f>
        <v/>
      </c>
      <c r="I9" s="2">
        <f>C9-B9</f>
        <v/>
      </c>
      <c r="J9" s="2">
        <f>E9-C9</f>
        <v/>
      </c>
      <c r="K9" s="2">
        <f>F9-E9</f>
        <v/>
      </c>
    </row>
    <row r="10">
      <c r="A10" t="n">
        <v>8</v>
      </c>
      <c r="B10" s="2" t="n">
        <v>262.5</v>
      </c>
      <c r="C10" s="2" t="n">
        <v>304.6</v>
      </c>
      <c r="D10" s="2" t="n">
        <v>358.7</v>
      </c>
      <c r="E10" s="2" t="n">
        <v>422.2</v>
      </c>
      <c r="F10" s="2" t="n">
        <v>489.4</v>
      </c>
      <c r="G10" s="2" t="n"/>
      <c r="H10" s="2">
        <f>B10</f>
        <v/>
      </c>
      <c r="I10" s="2">
        <f>C10-B10</f>
        <v/>
      </c>
      <c r="J10" s="2">
        <f>E10-C10</f>
        <v/>
      </c>
      <c r="K10" s="2">
        <f>F10-E10</f>
        <v/>
      </c>
    </row>
    <row r="11">
      <c r="A11" t="n">
        <v>9</v>
      </c>
      <c r="B11" s="2" t="n">
        <v>286.2</v>
      </c>
      <c r="C11" s="2" t="n">
        <v>334.2</v>
      </c>
      <c r="D11" s="2" t="n">
        <v>397.3</v>
      </c>
      <c r="E11" s="2" t="n">
        <v>472.3</v>
      </c>
      <c r="F11" s="2" t="n">
        <v>550.9</v>
      </c>
      <c r="G11" s="2" t="n"/>
      <c r="H11" s="2">
        <f>B11</f>
        <v/>
      </c>
      <c r="I11" s="2">
        <f>C11-B11</f>
        <v/>
      </c>
      <c r="J11" s="2">
        <f>E11-C11</f>
        <v/>
      </c>
      <c r="K11" s="2">
        <f>F11-E11</f>
        <v/>
      </c>
    </row>
    <row r="12">
      <c r="A12" t="n">
        <v>10</v>
      </c>
      <c r="B12" s="2" t="n">
        <v>311.9</v>
      </c>
      <c r="C12" s="2" t="n">
        <v>366.6</v>
      </c>
      <c r="D12" s="2" t="n">
        <v>438.3</v>
      </c>
      <c r="E12" s="2" t="n">
        <v>524.5</v>
      </c>
      <c r="F12" s="2" t="n">
        <v>619</v>
      </c>
      <c r="G12" s="2" t="n"/>
      <c r="H12" s="2">
        <f>B12</f>
        <v/>
      </c>
      <c r="I12" s="2">
        <f>C12-B12</f>
        <v/>
      </c>
      <c r="J12" s="2">
        <f>E12-C12</f>
        <v/>
      </c>
      <c r="K12" s="2">
        <f>F12-E12</f>
        <v/>
      </c>
    </row>
    <row r="13">
      <c r="A13" t="n">
        <v>11</v>
      </c>
      <c r="B13" s="2" t="n">
        <v>339.9</v>
      </c>
      <c r="C13" s="2" t="n">
        <v>402.6</v>
      </c>
      <c r="D13" s="2" t="n">
        <v>484.8</v>
      </c>
      <c r="E13" s="2" t="n">
        <v>585.1</v>
      </c>
      <c r="F13" s="2" t="n">
        <v>692.5</v>
      </c>
      <c r="G13" s="2" t="n"/>
      <c r="H13" s="2">
        <f>B13</f>
        <v/>
      </c>
      <c r="I13" s="2">
        <f>C13-B13</f>
        <v/>
      </c>
      <c r="J13" s="2">
        <f>E13-C13</f>
        <v/>
      </c>
      <c r="K13" s="2">
        <f>F13-E13</f>
        <v/>
      </c>
    </row>
    <row r="14">
      <c r="A14" t="n">
        <v>12</v>
      </c>
      <c r="B14" s="2" t="n">
        <v>369.6</v>
      </c>
      <c r="C14" s="2" t="n">
        <v>438.9</v>
      </c>
      <c r="D14" s="2" t="n">
        <v>533.2</v>
      </c>
      <c r="E14" s="2" t="n">
        <v>649.7</v>
      </c>
      <c r="F14" s="2" t="n">
        <v>773.5</v>
      </c>
      <c r="G14" s="2" t="n"/>
      <c r="H14" s="2">
        <f>B14</f>
        <v/>
      </c>
      <c r="I14" s="2">
        <f>C14-B14</f>
        <v/>
      </c>
      <c r="J14" s="2">
        <f>E14-C14</f>
        <v/>
      </c>
      <c r="K14" s="2">
        <f>F14-E14</f>
        <v/>
      </c>
    </row>
    <row r="15">
      <c r="A15" t="n">
        <v>13</v>
      </c>
      <c r="B15" s="2" t="n">
        <v>400.5</v>
      </c>
      <c r="C15" s="2" t="n">
        <v>478.2</v>
      </c>
      <c r="D15" s="2" t="n">
        <v>585.8</v>
      </c>
      <c r="E15" s="2" t="n">
        <v>719.1</v>
      </c>
      <c r="F15" s="2" t="n">
        <v>865.3</v>
      </c>
      <c r="G15" s="2" t="n"/>
      <c r="H15" s="2">
        <f>B15</f>
        <v/>
      </c>
      <c r="I15" s="2">
        <f>C15-B15</f>
        <v/>
      </c>
      <c r="J15" s="2">
        <f>E15-C15</f>
        <v/>
      </c>
      <c r="K15" s="2">
        <f>F15-E15</f>
        <v/>
      </c>
    </row>
    <row r="16">
      <c r="A16" t="n">
        <v>14</v>
      </c>
      <c r="B16" s="2" t="n">
        <v>417.4</v>
      </c>
      <c r="C16" s="2" t="n">
        <v>507.5</v>
      </c>
      <c r="D16" s="2" t="n">
        <v>628.6</v>
      </c>
      <c r="E16" s="2" t="n">
        <v>779.9</v>
      </c>
      <c r="F16" s="2" t="n">
        <v>947.4</v>
      </c>
      <c r="G16" s="2" t="n"/>
      <c r="H16" s="2">
        <f>B16</f>
        <v/>
      </c>
      <c r="I16" s="2">
        <f>C16-B16</f>
        <v/>
      </c>
      <c r="J16" s="2">
        <f>E16-C16</f>
        <v/>
      </c>
      <c r="K16" s="2">
        <f>F16-E16</f>
        <v/>
      </c>
    </row>
    <row r="17">
      <c r="A17" t="n">
        <v>15</v>
      </c>
      <c r="B17" s="2" t="n">
        <v>440.1</v>
      </c>
      <c r="C17" s="2" t="n">
        <v>537.4</v>
      </c>
      <c r="D17" s="2" t="n">
        <v>673.4</v>
      </c>
      <c r="E17" s="2" t="n">
        <v>848.4</v>
      </c>
      <c r="F17" s="2" t="n">
        <v>1034.4</v>
      </c>
      <c r="G17" s="2" t="n"/>
      <c r="H17" s="2">
        <f>B17</f>
        <v/>
      </c>
      <c r="I17" s="2">
        <f>C17-B17</f>
        <v/>
      </c>
      <c r="J17" s="2">
        <f>E17-C17</f>
        <v/>
      </c>
      <c r="K17" s="2">
        <f>F17-E17</f>
        <v/>
      </c>
    </row>
    <row r="18">
      <c r="A18" t="n">
        <v>16</v>
      </c>
      <c r="B18" s="2" t="n">
        <v>447.4</v>
      </c>
      <c r="C18" s="2" t="n">
        <v>556.5</v>
      </c>
      <c r="D18" s="2" t="n">
        <v>710</v>
      </c>
      <c r="E18" s="2" t="n">
        <v>904.5</v>
      </c>
      <c r="F18" s="2" t="n">
        <v>1121.9</v>
      </c>
      <c r="G18" s="2" t="n"/>
      <c r="H18" s="2">
        <f>B18</f>
        <v/>
      </c>
      <c r="I18" s="2">
        <f>C18-B18</f>
        <v/>
      </c>
      <c r="J18" s="2">
        <f>E18-C18</f>
        <v/>
      </c>
      <c r="K18" s="2">
        <f>F18-E18</f>
        <v/>
      </c>
    </row>
    <row r="19">
      <c r="A19" t="n">
        <v>17</v>
      </c>
      <c r="B19" s="2" t="n">
        <v>455.7</v>
      </c>
      <c r="C19" s="2" t="n">
        <v>577.9</v>
      </c>
      <c r="D19" s="2" t="n">
        <v>748.6</v>
      </c>
      <c r="E19" s="2" t="n">
        <v>964</v>
      </c>
      <c r="F19" s="2" t="n">
        <v>1210.2</v>
      </c>
      <c r="G19" s="2" t="n"/>
      <c r="H19" s="2">
        <f>B19</f>
        <v/>
      </c>
      <c r="I19" s="2">
        <f>C19-B19</f>
        <v/>
      </c>
      <c r="J19" s="2">
        <f>E19-C19</f>
        <v/>
      </c>
      <c r="K19" s="2">
        <f>F19-E19</f>
        <v/>
      </c>
    </row>
    <row r="20">
      <c r="A20" t="n">
        <v>18</v>
      </c>
      <c r="B20" s="2" t="n">
        <v>466.7</v>
      </c>
      <c r="C20" s="2" t="n">
        <v>601.2</v>
      </c>
      <c r="D20" s="2" t="n">
        <v>788.3</v>
      </c>
      <c r="E20" s="2" t="n">
        <v>1033.2</v>
      </c>
      <c r="F20" s="2" t="n">
        <v>1304.7</v>
      </c>
      <c r="G20" s="2" t="n"/>
      <c r="H20" s="2">
        <f>B20</f>
        <v/>
      </c>
      <c r="I20" s="2">
        <f>C20-B20</f>
        <v/>
      </c>
      <c r="J20" s="2">
        <f>E20-C20</f>
        <v/>
      </c>
      <c r="K20" s="2">
        <f>F20-E20</f>
        <v/>
      </c>
    </row>
    <row r="21">
      <c r="A21" t="n">
        <v>19</v>
      </c>
      <c r="B21" s="2" t="n">
        <v>492.6</v>
      </c>
      <c r="C21" s="2" t="n">
        <v>641.1</v>
      </c>
      <c r="D21" s="2" t="n">
        <v>846.5</v>
      </c>
      <c r="E21" s="2" t="n">
        <v>1116.6</v>
      </c>
      <c r="F21" s="2" t="n">
        <v>1431.9</v>
      </c>
      <c r="G21" s="2" t="n"/>
      <c r="H21" s="2">
        <f>B21</f>
        <v/>
      </c>
      <c r="I21" s="2">
        <f>C21-B21</f>
        <v/>
      </c>
      <c r="J21" s="2">
        <f>E21-C21</f>
        <v/>
      </c>
      <c r="K21" s="2">
        <f>F21-E21</f>
        <v/>
      </c>
    </row>
    <row r="22">
      <c r="A22" t="n">
        <v>20</v>
      </c>
      <c r="B22" s="2" t="n">
        <v>519.5</v>
      </c>
      <c r="C22" s="2" t="n">
        <v>679.9</v>
      </c>
      <c r="D22" s="2" t="n">
        <v>905.9</v>
      </c>
      <c r="E22" s="2" t="n">
        <v>1211.7</v>
      </c>
      <c r="F22" s="2" t="n">
        <v>1568.2</v>
      </c>
      <c r="G22" s="2" t="n"/>
      <c r="H22" s="2">
        <f>B22</f>
        <v/>
      </c>
      <c r="I22" s="2">
        <f>C22-B22</f>
        <v/>
      </c>
      <c r="J22" s="2">
        <f>E22-C22</f>
        <v/>
      </c>
      <c r="K22" s="2">
        <f>F22-E22</f>
        <v/>
      </c>
    </row>
    <row r="23">
      <c r="A23" t="n">
        <v>21</v>
      </c>
      <c r="B23" s="2" t="n">
        <v>553</v>
      </c>
      <c r="C23" s="2" t="n">
        <v>726.1</v>
      </c>
      <c r="D23" s="2" t="n">
        <v>976.4</v>
      </c>
      <c r="E23" s="2" t="n">
        <v>1316.2</v>
      </c>
      <c r="F23" s="2" t="n">
        <v>1720.6</v>
      </c>
      <c r="G23" s="2" t="n"/>
      <c r="H23" s="2">
        <f>B23</f>
        <v/>
      </c>
      <c r="I23" s="2">
        <f>C23-B23</f>
        <v/>
      </c>
      <c r="J23" s="2">
        <f>E23-C23</f>
        <v/>
      </c>
      <c r="K23" s="2">
        <f>F23-E23</f>
        <v/>
      </c>
    </row>
    <row r="24">
      <c r="A24" t="n">
        <v>22</v>
      </c>
      <c r="B24" s="2" t="n">
        <v>587.8</v>
      </c>
      <c r="C24" s="2" t="n">
        <v>778.4</v>
      </c>
      <c r="D24" s="2" t="n">
        <v>1054.1</v>
      </c>
      <c r="E24" s="2" t="n">
        <v>1429.3</v>
      </c>
      <c r="F24" s="2" t="n">
        <v>1875.8</v>
      </c>
      <c r="G24" s="2" t="n"/>
      <c r="H24" s="2">
        <f>B24</f>
        <v/>
      </c>
      <c r="I24" s="2">
        <f>C24-B24</f>
        <v/>
      </c>
      <c r="J24" s="2">
        <f>E24-C24</f>
        <v/>
      </c>
      <c r="K24" s="2">
        <f>F24-E24</f>
        <v/>
      </c>
    </row>
    <row r="25">
      <c r="A25" t="n">
        <v>23</v>
      </c>
      <c r="B25" s="2" t="n">
        <v>624.2</v>
      </c>
      <c r="C25" s="2" t="n">
        <v>836.7</v>
      </c>
      <c r="D25" s="2" t="n">
        <v>1136.8</v>
      </c>
      <c r="E25" s="2" t="n">
        <v>1554.8</v>
      </c>
      <c r="F25" s="2" t="n">
        <v>2046.4</v>
      </c>
      <c r="G25" s="2" t="n"/>
      <c r="H25" s="2">
        <f>B25</f>
        <v/>
      </c>
      <c r="I25" s="2">
        <f>C25-B25</f>
        <v/>
      </c>
      <c r="J25" s="2">
        <f>E25-C25</f>
        <v/>
      </c>
      <c r="K25" s="2">
        <f>F25-E25</f>
        <v/>
      </c>
    </row>
    <row r="26">
      <c r="A26" t="n">
        <v>24</v>
      </c>
      <c r="B26" s="2" t="n">
        <v>664.2</v>
      </c>
      <c r="C26" s="2" t="n">
        <v>892</v>
      </c>
      <c r="D26" s="2" t="n">
        <v>1224.4</v>
      </c>
      <c r="E26" s="2" t="n">
        <v>1679.2</v>
      </c>
      <c r="F26" s="2" t="n">
        <v>2225.4</v>
      </c>
      <c r="G26" s="2" t="n"/>
      <c r="H26" s="2">
        <f>B26</f>
        <v/>
      </c>
      <c r="I26" s="2">
        <f>C26-B26</f>
        <v/>
      </c>
      <c r="J26" s="2">
        <f>E26-C26</f>
        <v/>
      </c>
      <c r="K26" s="2">
        <f>F26-E26</f>
        <v/>
      </c>
    </row>
    <row r="27">
      <c r="A27" t="n">
        <v>25</v>
      </c>
      <c r="B27" s="2" t="n">
        <v>707.7</v>
      </c>
      <c r="C27" s="2" t="n">
        <v>961.4</v>
      </c>
      <c r="D27" s="2" t="n">
        <v>1320.7</v>
      </c>
      <c r="E27" s="2" t="n">
        <v>1827.2</v>
      </c>
      <c r="F27" s="2" t="n">
        <v>2423.9</v>
      </c>
      <c r="G27" s="2" t="n"/>
      <c r="H27" s="2">
        <f>B27</f>
        <v/>
      </c>
      <c r="I27" s="2">
        <f>C27-B27</f>
        <v/>
      </c>
      <c r="J27" s="2">
        <f>E27-C27</f>
        <v/>
      </c>
      <c r="K27" s="2">
        <f>F27-E27</f>
        <v/>
      </c>
    </row>
    <row r="28">
      <c r="A28" t="n">
        <v>26</v>
      </c>
      <c r="B28" s="2" t="n">
        <v>255.7</v>
      </c>
      <c r="C28" s="2" t="n">
        <v>523.6</v>
      </c>
      <c r="D28" s="2" t="n">
        <v>912.2</v>
      </c>
      <c r="E28" s="2" t="n">
        <v>1468.8</v>
      </c>
      <c r="F28" s="2" t="n">
        <v>2127</v>
      </c>
      <c r="G28" s="2" t="n"/>
      <c r="H28" s="2">
        <f>B28</f>
        <v/>
      </c>
      <c r="I28" s="2">
        <f>C28-B28</f>
        <v/>
      </c>
      <c r="J28" s="2">
        <f>E28-C28</f>
        <v/>
      </c>
      <c r="K28" s="2">
        <f>F28-E28</f>
        <v/>
      </c>
    </row>
    <row r="29">
      <c r="A29" t="n">
        <v>27</v>
      </c>
      <c r="B29" s="2" t="n">
        <v>272.4</v>
      </c>
      <c r="C29" s="2" t="n">
        <v>559.1</v>
      </c>
      <c r="D29" s="2" t="n">
        <v>982.2</v>
      </c>
      <c r="E29" s="2" t="n">
        <v>1587.6</v>
      </c>
      <c r="F29" s="2" t="n">
        <v>2314.3</v>
      </c>
      <c r="G29" s="2" t="n"/>
      <c r="H29" s="2">
        <f>B29</f>
        <v/>
      </c>
      <c r="I29" s="2">
        <f>C29-B29</f>
        <v/>
      </c>
      <c r="J29" s="2">
        <f>E29-C29</f>
        <v/>
      </c>
      <c r="K29" s="2">
        <f>F29-E29</f>
        <v/>
      </c>
    </row>
    <row r="30">
      <c r="A30" t="n">
        <v>28</v>
      </c>
      <c r="B30" s="2" t="n">
        <v>290.3</v>
      </c>
      <c r="C30" s="2" t="n">
        <v>596.6</v>
      </c>
      <c r="D30" s="2" t="n">
        <v>1055.5</v>
      </c>
      <c r="E30" s="2" t="n">
        <v>1718.1</v>
      </c>
      <c r="F30" s="2" t="n">
        <v>2508.2</v>
      </c>
      <c r="G30" s="2" t="n"/>
      <c r="H30" s="2">
        <f>B30</f>
        <v/>
      </c>
      <c r="I30" s="2">
        <f>C30-B30</f>
        <v/>
      </c>
      <c r="J30" s="2">
        <f>E30-C30</f>
        <v/>
      </c>
      <c r="K30" s="2">
        <f>F30-E30</f>
        <v/>
      </c>
    </row>
    <row r="31">
      <c r="A31" t="n">
        <v>29</v>
      </c>
      <c r="B31" s="2" t="n">
        <v>308.9</v>
      </c>
      <c r="C31" s="2" t="n">
        <v>640.8</v>
      </c>
      <c r="D31" s="2" t="n">
        <v>1140.3</v>
      </c>
      <c r="E31" s="2" t="n">
        <v>1855.9</v>
      </c>
      <c r="F31" s="2" t="n">
        <v>2761.6</v>
      </c>
      <c r="G31" s="2" t="n"/>
      <c r="H31" s="2">
        <f>B31</f>
        <v/>
      </c>
      <c r="I31" s="2">
        <f>C31-B31</f>
        <v/>
      </c>
      <c r="J31" s="2">
        <f>E31-C31</f>
        <v/>
      </c>
      <c r="K31" s="2">
        <f>F31-E31</f>
        <v/>
      </c>
    </row>
    <row r="32">
      <c r="A32" t="n">
        <v>30</v>
      </c>
      <c r="B32" s="2" t="n">
        <v>333.2</v>
      </c>
      <c r="C32" s="2" t="n">
        <v>688.7</v>
      </c>
      <c r="D32" s="2" t="n">
        <v>1224.3</v>
      </c>
      <c r="E32" s="2" t="n">
        <v>2019.3</v>
      </c>
      <c r="F32" s="2" t="n">
        <v>2999.7</v>
      </c>
      <c r="G32" s="2" t="n"/>
      <c r="H32" s="2">
        <f>B32</f>
        <v/>
      </c>
      <c r="I32" s="2">
        <f>C32-B32</f>
        <v/>
      </c>
      <c r="J32" s="2">
        <f>E32-C32</f>
        <v/>
      </c>
      <c r="K32" s="2">
        <f>F32-E32</f>
        <v/>
      </c>
    </row>
    <row r="33">
      <c r="A33" t="n">
        <v>31</v>
      </c>
      <c r="B33" s="2" t="n">
        <v>355.3</v>
      </c>
      <c r="C33" s="2" t="n">
        <v>737.5</v>
      </c>
      <c r="D33" s="2" t="n">
        <v>1317.7</v>
      </c>
      <c r="E33" s="2" t="n">
        <v>2181.9</v>
      </c>
      <c r="F33" s="2" t="n">
        <v>3256.8</v>
      </c>
      <c r="G33" s="2" t="n"/>
      <c r="H33" s="2">
        <f>B33</f>
        <v/>
      </c>
      <c r="I33" s="2">
        <f>C33-B33</f>
        <v/>
      </c>
      <c r="J33" s="2">
        <f>E33-C33</f>
        <v/>
      </c>
      <c r="K33" s="2">
        <f>F33-E33</f>
        <v/>
      </c>
    </row>
    <row r="34">
      <c r="A34" t="n">
        <v>32</v>
      </c>
      <c r="B34" s="2" t="n">
        <v>380.7</v>
      </c>
      <c r="C34" s="2" t="n">
        <v>788.2</v>
      </c>
      <c r="D34" s="2" t="n">
        <v>1422.9</v>
      </c>
      <c r="E34" s="2" t="n">
        <v>2360.4</v>
      </c>
      <c r="F34" s="2" t="n">
        <v>3553.5</v>
      </c>
      <c r="G34" s="2" t="n"/>
      <c r="H34" s="2">
        <f>B34</f>
        <v/>
      </c>
      <c r="I34" s="2">
        <f>C34-B34</f>
        <v/>
      </c>
      <c r="J34" s="2">
        <f>E34-C34</f>
        <v/>
      </c>
      <c r="K34" s="2">
        <f>F34-E34</f>
        <v/>
      </c>
    </row>
    <row r="35">
      <c r="A35" t="n">
        <v>33</v>
      </c>
      <c r="B35" s="2" t="n">
        <v>408.8</v>
      </c>
      <c r="C35" s="2" t="n">
        <v>845.5</v>
      </c>
      <c r="D35" s="2" t="n">
        <v>1531.8</v>
      </c>
      <c r="E35" s="2" t="n">
        <v>2547.9</v>
      </c>
      <c r="F35" s="2" t="n">
        <v>3867.9</v>
      </c>
      <c r="G35" s="2" t="n"/>
      <c r="H35" s="2">
        <f>B35</f>
        <v/>
      </c>
      <c r="I35" s="2">
        <f>C35-B35</f>
        <v/>
      </c>
      <c r="J35" s="2">
        <f>E35-C35</f>
        <v/>
      </c>
      <c r="K35" s="2">
        <f>F35-E35</f>
        <v/>
      </c>
    </row>
    <row r="36">
      <c r="A36" t="n">
        <v>34</v>
      </c>
      <c r="B36" s="2" t="n">
        <v>438.7</v>
      </c>
      <c r="C36" s="2" t="n">
        <v>904.2</v>
      </c>
      <c r="D36" s="2" t="n">
        <v>1649.1</v>
      </c>
      <c r="E36" s="2" t="n">
        <v>2759.1</v>
      </c>
      <c r="F36" s="2" t="n">
        <v>4223.4</v>
      </c>
      <c r="G36" s="2" t="n"/>
      <c r="H36" s="2">
        <f>B36</f>
        <v/>
      </c>
      <c r="I36" s="2">
        <f>C36-B36</f>
        <v/>
      </c>
      <c r="J36" s="2">
        <f>E36-C36</f>
        <v/>
      </c>
      <c r="K36" s="2">
        <f>F36-E36</f>
        <v/>
      </c>
    </row>
    <row r="37">
      <c r="A37" t="n">
        <v>35</v>
      </c>
      <c r="B37" s="2" t="n">
        <v>466.5</v>
      </c>
      <c r="C37" s="2" t="n">
        <v>973.2</v>
      </c>
      <c r="D37" s="2" t="n">
        <v>1773.4</v>
      </c>
      <c r="E37" s="2" t="n">
        <v>2993.1</v>
      </c>
      <c r="F37" s="2" t="n">
        <v>4587</v>
      </c>
      <c r="G37" s="2" t="n"/>
      <c r="H37" s="2">
        <f>B37</f>
        <v/>
      </c>
      <c r="I37" s="2">
        <f>C37-B37</f>
        <v/>
      </c>
      <c r="J37" s="2">
        <f>E37-C37</f>
        <v/>
      </c>
      <c r="K37" s="2">
        <f>F37-E37</f>
        <v/>
      </c>
    </row>
    <row r="38">
      <c r="A38" t="n">
        <v>36</v>
      </c>
      <c r="B38" s="2" t="n">
        <v>503.5</v>
      </c>
      <c r="C38" s="2" t="n">
        <v>1041.4</v>
      </c>
      <c r="D38" s="2" t="n">
        <v>1918.1</v>
      </c>
      <c r="E38" s="2" t="n">
        <v>3238.5</v>
      </c>
      <c r="F38" s="2" t="n">
        <v>5013.5</v>
      </c>
      <c r="G38" s="2" t="n"/>
      <c r="H38" s="2">
        <f>B38</f>
        <v/>
      </c>
      <c r="I38" s="2">
        <f>C38-B38</f>
        <v/>
      </c>
      <c r="J38" s="2">
        <f>E38-C38</f>
        <v/>
      </c>
      <c r="K38" s="2">
        <f>F38-E38</f>
        <v/>
      </c>
    </row>
    <row r="39">
      <c r="A39" t="n">
        <v>37</v>
      </c>
      <c r="B39" s="2" t="n">
        <v>536.3</v>
      </c>
      <c r="C39" s="2" t="n">
        <v>1117.8</v>
      </c>
      <c r="D39" s="2" t="n">
        <v>2066.4</v>
      </c>
      <c r="E39" s="2" t="n">
        <v>3515.1</v>
      </c>
      <c r="F39" s="2" t="n">
        <v>5445.5</v>
      </c>
      <c r="G39" s="2" t="n"/>
      <c r="H39" s="2">
        <f>B39</f>
        <v/>
      </c>
      <c r="I39" s="2">
        <f>C39-B39</f>
        <v/>
      </c>
      <c r="J39" s="2">
        <f>E39-C39</f>
        <v/>
      </c>
      <c r="K39" s="2">
        <f>F39-E39</f>
        <v/>
      </c>
    </row>
    <row r="40">
      <c r="A40" t="n">
        <v>38</v>
      </c>
      <c r="B40" s="2" t="n">
        <v>569.4</v>
      </c>
      <c r="C40" s="2" t="n">
        <v>1191.5</v>
      </c>
      <c r="D40" s="2" t="n">
        <v>2220.2</v>
      </c>
      <c r="E40" s="2" t="n">
        <v>3797.9</v>
      </c>
      <c r="F40" s="2" t="n">
        <v>5875.5</v>
      </c>
      <c r="G40" s="2" t="n"/>
      <c r="H40" s="2">
        <f>B40</f>
        <v/>
      </c>
      <c r="I40" s="2">
        <f>C40-B40</f>
        <v/>
      </c>
      <c r="J40" s="2">
        <f>E40-C40</f>
        <v/>
      </c>
      <c r="K40" s="2">
        <f>F40-E40</f>
        <v/>
      </c>
    </row>
    <row r="41">
      <c r="A41" t="n">
        <v>39</v>
      </c>
      <c r="B41" s="2" t="n">
        <v>615.6</v>
      </c>
      <c r="C41" s="2" t="n">
        <v>1290.1</v>
      </c>
      <c r="D41" s="2" t="n">
        <v>2382.7</v>
      </c>
      <c r="E41" s="2" t="n">
        <v>4104.8</v>
      </c>
      <c r="F41" s="2" t="n">
        <v>6470</v>
      </c>
      <c r="G41" s="2" t="n"/>
      <c r="H41" s="2">
        <f>B41</f>
        <v/>
      </c>
      <c r="I41" s="2">
        <f>C41-B41</f>
        <v/>
      </c>
      <c r="J41" s="2">
        <f>E41-C41</f>
        <v/>
      </c>
      <c r="K41" s="2">
        <f>F41-E41</f>
        <v/>
      </c>
    </row>
    <row r="42">
      <c r="A42" t="n">
        <v>40</v>
      </c>
      <c r="B42" s="2" t="n">
        <v>654.7</v>
      </c>
      <c r="C42" s="2" t="n">
        <v>1387.2</v>
      </c>
      <c r="D42" s="2" t="n">
        <v>2580.9</v>
      </c>
      <c r="E42" s="2" t="n">
        <v>4431.5</v>
      </c>
      <c r="F42" s="2" t="n">
        <v>6992.9</v>
      </c>
      <c r="G42" s="2" t="n"/>
      <c r="H42" s="2">
        <f>B42</f>
        <v/>
      </c>
      <c r="I42" s="2">
        <f>C42-B42</f>
        <v/>
      </c>
      <c r="J42" s="2">
        <f>E42-C42</f>
        <v/>
      </c>
      <c r="K42" s="2">
        <f>F42-E42</f>
        <v/>
      </c>
    </row>
    <row r="43">
      <c r="A43" t="n">
        <v>41</v>
      </c>
      <c r="B43" s="2" t="n">
        <v>702.7</v>
      </c>
      <c r="C43" s="2" t="n">
        <v>1484.1</v>
      </c>
      <c r="D43" s="2" t="n">
        <v>2777.3</v>
      </c>
      <c r="E43" s="2" t="n">
        <v>4824.5</v>
      </c>
      <c r="F43" s="2" t="n">
        <v>7617</v>
      </c>
      <c r="G43" s="2" t="n"/>
      <c r="H43" s="2">
        <f>B43</f>
        <v/>
      </c>
      <c r="I43" s="2">
        <f>C43-B43</f>
        <v/>
      </c>
      <c r="J43" s="2">
        <f>E43-C43</f>
        <v/>
      </c>
      <c r="K43" s="2">
        <f>F43-E43</f>
        <v/>
      </c>
    </row>
    <row r="44">
      <c r="A44" t="n">
        <v>42</v>
      </c>
      <c r="B44" s="2" t="n">
        <v>750.2</v>
      </c>
      <c r="C44" s="2" t="n">
        <v>1593.7</v>
      </c>
      <c r="D44" s="2" t="n">
        <v>2993.7</v>
      </c>
      <c r="E44" s="2" t="n">
        <v>5195.4</v>
      </c>
      <c r="F44" s="2" t="n">
        <v>8259.6</v>
      </c>
      <c r="G44" s="2" t="n"/>
      <c r="H44" s="2">
        <f>B44</f>
        <v/>
      </c>
      <c r="I44" s="2">
        <f>C44-B44</f>
        <v/>
      </c>
      <c r="J44" s="2">
        <f>E44-C44</f>
        <v/>
      </c>
      <c r="K44" s="2">
        <f>F44-E44</f>
        <v/>
      </c>
    </row>
    <row r="45">
      <c r="A45" t="n">
        <v>43</v>
      </c>
      <c r="B45" s="2" t="n">
        <v>801.8</v>
      </c>
      <c r="C45" s="2" t="n">
        <v>1712.7</v>
      </c>
      <c r="D45" s="2" t="n">
        <v>3221.8</v>
      </c>
      <c r="E45" s="2" t="n">
        <v>5621.3</v>
      </c>
      <c r="F45" s="2" t="n">
        <v>8983.1</v>
      </c>
      <c r="G45" s="2" t="n"/>
      <c r="H45" s="2">
        <f>B45</f>
        <v/>
      </c>
      <c r="I45" s="2">
        <f>C45-B45</f>
        <v/>
      </c>
      <c r="J45" s="2">
        <f>E45-C45</f>
        <v/>
      </c>
      <c r="K45" s="2">
        <f>F45-E45</f>
        <v/>
      </c>
    </row>
    <row r="46">
      <c r="A46" t="n">
        <v>44</v>
      </c>
      <c r="B46" s="2" t="n">
        <v>857.1</v>
      </c>
      <c r="C46" s="2" t="n">
        <v>1835.9</v>
      </c>
      <c r="D46" s="2" t="n">
        <v>3477.9</v>
      </c>
      <c r="E46" s="2" t="n">
        <v>6084.6</v>
      </c>
      <c r="F46" s="2" t="n">
        <v>9758.5</v>
      </c>
      <c r="G46" s="2" t="n"/>
      <c r="H46" s="2">
        <f>B46</f>
        <v/>
      </c>
      <c r="I46" s="2">
        <f>C46-B46</f>
        <v/>
      </c>
      <c r="J46" s="2">
        <f>E46-C46</f>
        <v/>
      </c>
      <c r="K46" s="2">
        <f>F46-E46</f>
        <v/>
      </c>
    </row>
    <row r="47">
      <c r="A47" t="n">
        <v>45</v>
      </c>
      <c r="B47" s="2" t="n">
        <v>915.5</v>
      </c>
      <c r="C47" s="2" t="n">
        <v>1964.1</v>
      </c>
      <c r="D47" s="2" t="n">
        <v>3731.2</v>
      </c>
      <c r="E47" s="2" t="n">
        <v>6580</v>
      </c>
      <c r="F47" s="2" t="n">
        <v>10649.2</v>
      </c>
      <c r="G47" s="2" t="n"/>
      <c r="H47" s="2">
        <f>B47</f>
        <v/>
      </c>
      <c r="I47" s="2">
        <f>C47-B47</f>
        <v/>
      </c>
      <c r="J47" s="2">
        <f>E47-C47</f>
        <v/>
      </c>
      <c r="K47" s="2">
        <f>F47-E47</f>
        <v/>
      </c>
    </row>
    <row r="48">
      <c r="A48" t="n">
        <v>46</v>
      </c>
      <c r="B48" s="2" t="n">
        <v>984.8</v>
      </c>
      <c r="C48" s="2" t="n">
        <v>2109.1</v>
      </c>
      <c r="D48" s="2" t="n">
        <v>4024.1</v>
      </c>
      <c r="E48" s="2" t="n">
        <v>7118</v>
      </c>
      <c r="F48" s="2" t="n">
        <v>11515.3</v>
      </c>
      <c r="G48" s="2" t="n"/>
      <c r="H48" s="2">
        <f>B48</f>
        <v/>
      </c>
      <c r="I48" s="2">
        <f>C48-B48</f>
        <v/>
      </c>
      <c r="J48" s="2">
        <f>E48-C48</f>
        <v/>
      </c>
      <c r="K48" s="2">
        <f>F48-E48</f>
        <v/>
      </c>
    </row>
    <row r="49">
      <c r="A49" t="n">
        <v>47</v>
      </c>
      <c r="B49" s="2" t="n">
        <v>1058.2</v>
      </c>
      <c r="C49" s="2" t="n">
        <v>2268.1</v>
      </c>
      <c r="D49" s="2" t="n">
        <v>4333.3</v>
      </c>
      <c r="E49" s="2" t="n">
        <v>7710.4</v>
      </c>
      <c r="F49" s="2" t="n">
        <v>12474.7</v>
      </c>
      <c r="G49" s="2" t="n"/>
      <c r="H49" s="2">
        <f>B49</f>
        <v/>
      </c>
      <c r="I49" s="2">
        <f>C49-B49</f>
        <v/>
      </c>
      <c r="J49" s="2">
        <f>E49-C49</f>
        <v/>
      </c>
      <c r="K49" s="2">
        <f>F49-E49</f>
        <v/>
      </c>
    </row>
    <row r="50">
      <c r="A50" t="n">
        <v>48</v>
      </c>
      <c r="B50" s="2" t="n">
        <v>1141.1</v>
      </c>
      <c r="C50" s="2" t="n">
        <v>2439.4</v>
      </c>
      <c r="D50" s="2" t="n">
        <v>4675.9</v>
      </c>
      <c r="E50" s="2" t="n">
        <v>8344.299999999999</v>
      </c>
      <c r="F50" s="2" t="n">
        <v>13522.4</v>
      </c>
      <c r="G50" s="2" t="n"/>
      <c r="H50" s="2">
        <f>B50</f>
        <v/>
      </c>
      <c r="I50" s="2">
        <f>C50-B50</f>
        <v/>
      </c>
      <c r="J50" s="2">
        <f>E50-C50</f>
        <v/>
      </c>
      <c r="K50" s="2">
        <f>F50-E50</f>
        <v/>
      </c>
    </row>
    <row r="51">
      <c r="A51" t="n">
        <v>49</v>
      </c>
      <c r="B51" s="2" t="n">
        <v>1218.4</v>
      </c>
      <c r="C51" s="2" t="n">
        <v>2622.4</v>
      </c>
      <c r="D51" s="2" t="n">
        <v>5035.9</v>
      </c>
      <c r="E51" s="2" t="n">
        <v>8954</v>
      </c>
      <c r="F51" s="2" t="n">
        <v>14639.4</v>
      </c>
      <c r="G51" s="2" t="n"/>
      <c r="H51" s="2">
        <f>B51</f>
        <v/>
      </c>
      <c r="I51" s="2">
        <f>C51-B51</f>
        <v/>
      </c>
      <c r="J51" s="2">
        <f>E51-C51</f>
        <v/>
      </c>
      <c r="K51" s="2">
        <f>F51-E51</f>
        <v/>
      </c>
    </row>
    <row r="52">
      <c r="A52" t="n">
        <v>50</v>
      </c>
      <c r="B52" s="2" t="n">
        <v>1311.2</v>
      </c>
      <c r="C52" s="2" t="n">
        <v>2803</v>
      </c>
      <c r="D52" s="2" t="n">
        <v>5448.1</v>
      </c>
      <c r="E52" s="2" t="n">
        <v>9698.5</v>
      </c>
      <c r="F52" s="2" t="n">
        <v>15889.1</v>
      </c>
      <c r="G52" s="2" t="n"/>
      <c r="H52" s="2">
        <f>B52</f>
        <v/>
      </c>
      <c r="I52" s="2">
        <f>C52-B52</f>
        <v/>
      </c>
      <c r="J52" s="2">
        <f>E52-C52</f>
        <v/>
      </c>
      <c r="K52" s="2">
        <f>F52-E52</f>
        <v/>
      </c>
    </row>
    <row r="54">
      <c r="A54" t="inlineStr">
        <is>
          <t>Miles de USD de hoy. Percentiles del patrimonio al cierre de cada año en 20.000 escenarios del Montecarlo oficial. Las columnas H-K son las franjas que se apilan en el gráfico (la base va sin relleno). Fuente: codigo/analisis_complementario.py.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cols>
    <col width="8" customWidth="1" min="1" max="1"/>
  </cols>
  <sheetData>
    <row r="1">
      <c r="A1" s="1" t="inlineStr">
        <is>
          <t>Año</t>
        </is>
      </c>
      <c r="B1" s="1" t="inlineStr">
        <is>
          <t>P10</t>
        </is>
      </c>
      <c r="C1" s="1" t="inlineStr">
        <is>
          <t>P25</t>
        </is>
      </c>
      <c r="D1" s="1" t="inlineStr">
        <is>
          <t>P50 (mediana)</t>
        </is>
      </c>
      <c r="E1" s="1" t="inlineStr">
        <is>
          <t>P75</t>
        </is>
      </c>
      <c r="F1" s="1" t="inlineStr">
        <is>
          <t>P90</t>
        </is>
      </c>
      <c r="G1" s="1" t="inlineStr"/>
      <c r="H1" s="1" t="inlineStr">
        <is>
          <t>Base (P10)</t>
        </is>
      </c>
      <c r="I1" s="1" t="inlineStr">
        <is>
          <t>P10-P25</t>
        </is>
      </c>
      <c r="J1" s="1" t="inlineStr">
        <is>
          <t>P25-P75</t>
        </is>
      </c>
      <c r="K1" s="1" t="inlineStr">
        <is>
          <t>P75-P90</t>
        </is>
      </c>
    </row>
    <row r="2">
      <c r="A2" t="n">
        <v>0</v>
      </c>
      <c r="B2" s="2" t="n">
        <v>144</v>
      </c>
      <c r="C2" s="2" t="n">
        <v>144</v>
      </c>
      <c r="D2" s="2" t="n">
        <v>144</v>
      </c>
      <c r="E2" s="2" t="n">
        <v>144</v>
      </c>
      <c r="F2" s="2" t="n">
        <v>144</v>
      </c>
      <c r="G2" s="2" t="n"/>
      <c r="H2" s="2">
        <f>B2</f>
        <v/>
      </c>
      <c r="I2" s="2">
        <f>C2-B2</f>
        <v/>
      </c>
      <c r="J2" s="2">
        <f>E2-C2</f>
        <v/>
      </c>
      <c r="K2" s="2">
        <f>F2-E2</f>
        <v/>
      </c>
    </row>
    <row r="3">
      <c r="A3" t="n">
        <v>1</v>
      </c>
      <c r="B3" s="2" t="n">
        <v>132.4</v>
      </c>
      <c r="C3" s="2" t="n">
        <v>141.2</v>
      </c>
      <c r="D3" s="2" t="n">
        <v>151</v>
      </c>
      <c r="E3" s="2" t="n">
        <v>161.3</v>
      </c>
      <c r="F3" s="2" t="n">
        <v>170.7</v>
      </c>
      <c r="G3" s="2" t="n"/>
      <c r="H3" s="2">
        <f>B3</f>
        <v/>
      </c>
      <c r="I3" s="2">
        <f>C3-B3</f>
        <v/>
      </c>
      <c r="J3" s="2">
        <f>E3-C3</f>
        <v/>
      </c>
      <c r="K3" s="2">
        <f>F3-E3</f>
        <v/>
      </c>
    </row>
    <row r="4">
      <c r="A4" t="n">
        <v>2</v>
      </c>
      <c r="B4" s="2" t="n">
        <v>141.2</v>
      </c>
      <c r="C4" s="2" t="n">
        <v>153.4</v>
      </c>
      <c r="D4" s="2" t="n">
        <v>168.4</v>
      </c>
      <c r="E4" s="2" t="n">
        <v>184</v>
      </c>
      <c r="F4" s="2" t="n">
        <v>199.4</v>
      </c>
      <c r="G4" s="2" t="n"/>
      <c r="H4" s="2">
        <f>B4</f>
        <v/>
      </c>
      <c r="I4" s="2">
        <f>C4-B4</f>
        <v/>
      </c>
      <c r="J4" s="2">
        <f>E4-C4</f>
        <v/>
      </c>
      <c r="K4" s="2">
        <f>F4-E4</f>
        <v/>
      </c>
    </row>
    <row r="5">
      <c r="A5" t="n">
        <v>3</v>
      </c>
      <c r="B5" s="2" t="n">
        <v>151.9</v>
      </c>
      <c r="C5" s="2" t="n">
        <v>167.2</v>
      </c>
      <c r="D5" s="2" t="n">
        <v>186.6</v>
      </c>
      <c r="E5" s="2" t="n">
        <v>207.4</v>
      </c>
      <c r="F5" s="2" t="n">
        <v>227.8</v>
      </c>
      <c r="G5" s="2" t="n"/>
      <c r="H5" s="2">
        <f>B5</f>
        <v/>
      </c>
      <c r="I5" s="2">
        <f>C5-B5</f>
        <v/>
      </c>
      <c r="J5" s="2">
        <f>E5-C5</f>
        <v/>
      </c>
      <c r="K5" s="2">
        <f>F5-E5</f>
        <v/>
      </c>
    </row>
    <row r="6">
      <c r="A6" t="n">
        <v>4</v>
      </c>
      <c r="B6" s="2" t="n">
        <v>163.4</v>
      </c>
      <c r="C6" s="2" t="n">
        <v>182.2</v>
      </c>
      <c r="D6" s="2" t="n">
        <v>205.6</v>
      </c>
      <c r="E6" s="2" t="n">
        <v>231.2</v>
      </c>
      <c r="F6" s="2" t="n">
        <v>257.3</v>
      </c>
      <c r="G6" s="2" t="n"/>
      <c r="H6" s="2">
        <f>B6</f>
        <v/>
      </c>
      <c r="I6" s="2">
        <f>C6-B6</f>
        <v/>
      </c>
      <c r="J6" s="2">
        <f>E6-C6</f>
        <v/>
      </c>
      <c r="K6" s="2">
        <f>F6-E6</f>
        <v/>
      </c>
    </row>
    <row r="7">
      <c r="A7" t="n">
        <v>5</v>
      </c>
      <c r="B7" s="2" t="n">
        <v>174.6</v>
      </c>
      <c r="C7" s="2" t="n">
        <v>197.1</v>
      </c>
      <c r="D7" s="2" t="n">
        <v>225.4</v>
      </c>
      <c r="E7" s="2" t="n">
        <v>257.3</v>
      </c>
      <c r="F7" s="2" t="n">
        <v>288.9</v>
      </c>
      <c r="G7" s="2" t="n"/>
      <c r="H7" s="2">
        <f>B7</f>
        <v/>
      </c>
      <c r="I7" s="2">
        <f>C7-B7</f>
        <v/>
      </c>
      <c r="J7" s="2">
        <f>E7-C7</f>
        <v/>
      </c>
      <c r="K7" s="2">
        <f>F7-E7</f>
        <v/>
      </c>
    </row>
    <row r="8">
      <c r="A8" t="n">
        <v>6</v>
      </c>
      <c r="B8" s="2" t="n">
        <v>187.3</v>
      </c>
      <c r="C8" s="2" t="n">
        <v>213</v>
      </c>
      <c r="D8" s="2" t="n">
        <v>246.1</v>
      </c>
      <c r="E8" s="2" t="n">
        <v>283.2</v>
      </c>
      <c r="F8" s="2" t="n">
        <v>321.7</v>
      </c>
      <c r="G8" s="2" t="n"/>
      <c r="H8" s="2">
        <f>B8</f>
        <v/>
      </c>
      <c r="I8" s="2">
        <f>C8-B8</f>
        <v/>
      </c>
      <c r="J8" s="2">
        <f>E8-C8</f>
        <v/>
      </c>
      <c r="K8" s="2">
        <f>F8-E8</f>
        <v/>
      </c>
    </row>
    <row r="9">
      <c r="A9" t="n">
        <v>7</v>
      </c>
      <c r="B9" s="2" t="n">
        <v>200.5</v>
      </c>
      <c r="C9" s="2" t="n">
        <v>229.6</v>
      </c>
      <c r="D9" s="2" t="n">
        <v>267.9</v>
      </c>
      <c r="E9" s="2" t="n">
        <v>311.6</v>
      </c>
      <c r="F9" s="2" t="n">
        <v>357.6</v>
      </c>
      <c r="G9" s="2" t="n"/>
      <c r="H9" s="2">
        <f>B9</f>
        <v/>
      </c>
      <c r="I9" s="2">
        <f>C9-B9</f>
        <v/>
      </c>
      <c r="J9" s="2">
        <f>E9-C9</f>
        <v/>
      </c>
      <c r="K9" s="2">
        <f>F9-E9</f>
        <v/>
      </c>
    </row>
    <row r="10">
      <c r="A10" t="n">
        <v>8</v>
      </c>
      <c r="B10" s="2" t="n">
        <v>214</v>
      </c>
      <c r="C10" s="2" t="n">
        <v>247.5</v>
      </c>
      <c r="D10" s="2" t="n">
        <v>290.5</v>
      </c>
      <c r="E10" s="2" t="n">
        <v>340.7</v>
      </c>
      <c r="F10" s="2" t="n">
        <v>394</v>
      </c>
      <c r="G10" s="2" t="n"/>
      <c r="H10" s="2">
        <f>B10</f>
        <v/>
      </c>
      <c r="I10" s="2">
        <f>C10-B10</f>
        <v/>
      </c>
      <c r="J10" s="2">
        <f>E10-C10</f>
        <v/>
      </c>
      <c r="K10" s="2">
        <f>F10-E10</f>
        <v/>
      </c>
    </row>
    <row r="11">
      <c r="A11" t="n">
        <v>9</v>
      </c>
      <c r="B11" s="2" t="n">
        <v>228.1</v>
      </c>
      <c r="C11" s="2" t="n">
        <v>265.3</v>
      </c>
      <c r="D11" s="2" t="n">
        <v>314.1</v>
      </c>
      <c r="E11" s="2" t="n">
        <v>371.9</v>
      </c>
      <c r="F11" s="2" t="n">
        <v>432.5</v>
      </c>
      <c r="G11" s="2" t="n"/>
      <c r="H11" s="2">
        <f>B11</f>
        <v/>
      </c>
      <c r="I11" s="2">
        <f>C11-B11</f>
        <v/>
      </c>
      <c r="J11" s="2">
        <f>E11-C11</f>
        <v/>
      </c>
      <c r="K11" s="2">
        <f>F11-E11</f>
        <v/>
      </c>
    </row>
    <row r="12">
      <c r="A12" t="n">
        <v>10</v>
      </c>
      <c r="B12" s="2" t="n">
        <v>242.9</v>
      </c>
      <c r="C12" s="2" t="n">
        <v>284.3</v>
      </c>
      <c r="D12" s="2" t="n">
        <v>338.6</v>
      </c>
      <c r="E12" s="2" t="n">
        <v>403.1</v>
      </c>
      <c r="F12" s="2" t="n">
        <v>474</v>
      </c>
      <c r="G12" s="2" t="n"/>
      <c r="H12" s="2">
        <f>B12</f>
        <v/>
      </c>
      <c r="I12" s="2">
        <f>C12-B12</f>
        <v/>
      </c>
      <c r="J12" s="2">
        <f>E12-C12</f>
        <v/>
      </c>
      <c r="K12" s="2">
        <f>F12-E12</f>
        <v/>
      </c>
    </row>
    <row r="13">
      <c r="A13" t="n">
        <v>11</v>
      </c>
      <c r="B13" s="2" t="n">
        <v>258.9</v>
      </c>
      <c r="C13" s="2" t="n">
        <v>304.9</v>
      </c>
      <c r="D13" s="2" t="n">
        <v>365.4</v>
      </c>
      <c r="E13" s="2" t="n">
        <v>438.3</v>
      </c>
      <c r="F13" s="2" t="n">
        <v>517</v>
      </c>
      <c r="G13" s="2" t="n"/>
      <c r="H13" s="2">
        <f>B13</f>
        <v/>
      </c>
      <c r="I13" s="2">
        <f>C13-B13</f>
        <v/>
      </c>
      <c r="J13" s="2">
        <f>E13-C13</f>
        <v/>
      </c>
      <c r="K13" s="2">
        <f>F13-E13</f>
        <v/>
      </c>
    </row>
    <row r="14">
      <c r="A14" t="n">
        <v>12</v>
      </c>
      <c r="B14" s="2" t="n">
        <v>275.4</v>
      </c>
      <c r="C14" s="2" t="n">
        <v>325.2</v>
      </c>
      <c r="D14" s="2" t="n">
        <v>392.4</v>
      </c>
      <c r="E14" s="2" t="n">
        <v>475.2</v>
      </c>
      <c r="F14" s="2" t="n">
        <v>563.1</v>
      </c>
      <c r="G14" s="2" t="n"/>
      <c r="H14" s="2">
        <f>B14</f>
        <v/>
      </c>
      <c r="I14" s="2">
        <f>C14-B14</f>
        <v/>
      </c>
      <c r="J14" s="2">
        <f>E14-C14</f>
        <v/>
      </c>
      <c r="K14" s="2">
        <f>F14-E14</f>
        <v/>
      </c>
    </row>
    <row r="15">
      <c r="A15" t="n">
        <v>13</v>
      </c>
      <c r="B15" s="2" t="n">
        <v>291.9</v>
      </c>
      <c r="C15" s="2" t="n">
        <v>346</v>
      </c>
      <c r="D15" s="2" t="n">
        <v>421</v>
      </c>
      <c r="E15" s="2" t="n">
        <v>513.3</v>
      </c>
      <c r="F15" s="2" t="n">
        <v>613.3</v>
      </c>
      <c r="G15" s="2" t="n"/>
      <c r="H15" s="2">
        <f>B15</f>
        <v/>
      </c>
      <c r="I15" s="2">
        <f>C15-B15</f>
        <v/>
      </c>
      <c r="J15" s="2">
        <f>E15-C15</f>
        <v/>
      </c>
      <c r="K15" s="2">
        <f>F15-E15</f>
        <v/>
      </c>
    </row>
    <row r="16">
      <c r="A16" t="n">
        <v>14</v>
      </c>
      <c r="B16" s="2" t="n">
        <v>293.4</v>
      </c>
      <c r="C16" s="2" t="n">
        <v>354.6</v>
      </c>
      <c r="D16" s="2" t="n">
        <v>436.8</v>
      </c>
      <c r="E16" s="2" t="n">
        <v>538.7</v>
      </c>
      <c r="F16" s="2" t="n">
        <v>650.9</v>
      </c>
      <c r="G16" s="2" t="n"/>
      <c r="H16" s="2">
        <f>B16</f>
        <v/>
      </c>
      <c r="I16" s="2">
        <f>C16-B16</f>
        <v/>
      </c>
      <c r="J16" s="2">
        <f>E16-C16</f>
        <v/>
      </c>
      <c r="K16" s="2">
        <f>F16-E16</f>
        <v/>
      </c>
    </row>
    <row r="17">
      <c r="A17" t="n">
        <v>15</v>
      </c>
      <c r="B17" s="2" t="n">
        <v>297.9</v>
      </c>
      <c r="C17" s="2" t="n">
        <v>362.7</v>
      </c>
      <c r="D17" s="2" t="n">
        <v>452.3</v>
      </c>
      <c r="E17" s="2" t="n">
        <v>566.6</v>
      </c>
      <c r="F17" s="2" t="n">
        <v>688.3</v>
      </c>
      <c r="G17" s="2" t="n"/>
      <c r="H17" s="2">
        <f>B17</f>
        <v/>
      </c>
      <c r="I17" s="2">
        <f>C17-B17</f>
        <v/>
      </c>
      <c r="J17" s="2">
        <f>E17-C17</f>
        <v/>
      </c>
      <c r="K17" s="2">
        <f>F17-E17</f>
        <v/>
      </c>
    </row>
    <row r="18">
      <c r="A18" t="n">
        <v>16</v>
      </c>
      <c r="B18" s="2" t="n">
        <v>287.6</v>
      </c>
      <c r="C18" s="2" t="n">
        <v>357.9</v>
      </c>
      <c r="D18" s="2" t="n">
        <v>455.9</v>
      </c>
      <c r="E18" s="2" t="n">
        <v>580.2</v>
      </c>
      <c r="F18" s="2" t="n">
        <v>717.7</v>
      </c>
      <c r="G18" s="2" t="n"/>
      <c r="H18" s="2">
        <f>B18</f>
        <v/>
      </c>
      <c r="I18" s="2">
        <f>C18-B18</f>
        <v/>
      </c>
      <c r="J18" s="2">
        <f>E18-C18</f>
        <v/>
      </c>
      <c r="K18" s="2">
        <f>F18-E18</f>
        <v/>
      </c>
    </row>
    <row r="19">
      <c r="A19" t="n">
        <v>17</v>
      </c>
      <c r="B19" s="2" t="n">
        <v>277.2</v>
      </c>
      <c r="C19" s="2" t="n">
        <v>353.1</v>
      </c>
      <c r="D19" s="2" t="n">
        <v>459.5</v>
      </c>
      <c r="E19" s="2" t="n">
        <v>592.7</v>
      </c>
      <c r="F19" s="2" t="n">
        <v>743</v>
      </c>
      <c r="G19" s="2" t="n"/>
      <c r="H19" s="2">
        <f>B19</f>
        <v/>
      </c>
      <c r="I19" s="2">
        <f>C19-B19</f>
        <v/>
      </c>
      <c r="J19" s="2">
        <f>E19-C19</f>
        <v/>
      </c>
      <c r="K19" s="2">
        <f>F19-E19</f>
        <v/>
      </c>
    </row>
    <row r="20">
      <c r="A20" t="n">
        <v>18</v>
      </c>
      <c r="B20" s="2" t="n">
        <v>267.6</v>
      </c>
      <c r="C20" s="2" t="n">
        <v>349</v>
      </c>
      <c r="D20" s="2" t="n">
        <v>461</v>
      </c>
      <c r="E20" s="2" t="n">
        <v>608.4</v>
      </c>
      <c r="F20" s="2" t="n">
        <v>771.5</v>
      </c>
      <c r="G20" s="2" t="n"/>
      <c r="H20" s="2">
        <f>B20</f>
        <v/>
      </c>
      <c r="I20" s="2">
        <f>C20-B20</f>
        <v/>
      </c>
      <c r="J20" s="2">
        <f>E20-C20</f>
        <v/>
      </c>
      <c r="K20" s="2">
        <f>F20-E20</f>
        <v/>
      </c>
    </row>
    <row r="21">
      <c r="A21" t="n">
        <v>19</v>
      </c>
      <c r="B21" s="2" t="n">
        <v>272.1</v>
      </c>
      <c r="C21" s="2" t="n">
        <v>358.6</v>
      </c>
      <c r="D21" s="2" t="n">
        <v>478.6</v>
      </c>
      <c r="E21" s="2" t="n">
        <v>635.8</v>
      </c>
      <c r="F21" s="2" t="n">
        <v>818.1</v>
      </c>
      <c r="G21" s="2" t="n"/>
      <c r="H21" s="2">
        <f>B21</f>
        <v/>
      </c>
      <c r="I21" s="2">
        <f>C21-B21</f>
        <v/>
      </c>
      <c r="J21" s="2">
        <f>E21-C21</f>
        <v/>
      </c>
      <c r="K21" s="2">
        <f>F21-E21</f>
        <v/>
      </c>
    </row>
    <row r="22">
      <c r="A22" t="n">
        <v>20</v>
      </c>
      <c r="B22" s="2" t="n">
        <v>275.9</v>
      </c>
      <c r="C22" s="2" t="n">
        <v>367.1</v>
      </c>
      <c r="D22" s="2" t="n">
        <v>495</v>
      </c>
      <c r="E22" s="2" t="n">
        <v>667.2</v>
      </c>
      <c r="F22" s="2" t="n">
        <v>865.3</v>
      </c>
      <c r="G22" s="2" t="n"/>
      <c r="H22" s="2">
        <f>B22</f>
        <v/>
      </c>
      <c r="I22" s="2">
        <f>C22-B22</f>
        <v/>
      </c>
      <c r="J22" s="2">
        <f>E22-C22</f>
        <v/>
      </c>
      <c r="K22" s="2">
        <f>F22-E22</f>
        <v/>
      </c>
    </row>
    <row r="23">
      <c r="A23" t="n">
        <v>21</v>
      </c>
      <c r="B23" s="2" t="n">
        <v>285.2</v>
      </c>
      <c r="C23" s="2" t="n">
        <v>380.1</v>
      </c>
      <c r="D23" s="2" t="n">
        <v>517.5</v>
      </c>
      <c r="E23" s="2" t="n">
        <v>702.4</v>
      </c>
      <c r="F23" s="2" t="n">
        <v>921.9</v>
      </c>
      <c r="G23" s="2" t="n"/>
      <c r="H23" s="2">
        <f>B23</f>
        <v/>
      </c>
      <c r="I23" s="2">
        <f>C23-B23</f>
        <v/>
      </c>
      <c r="J23" s="2">
        <f>E23-C23</f>
        <v/>
      </c>
      <c r="K23" s="2">
        <f>F23-E23</f>
        <v/>
      </c>
    </row>
    <row r="24">
      <c r="A24" t="n">
        <v>22</v>
      </c>
      <c r="B24" s="2" t="n">
        <v>294.7</v>
      </c>
      <c r="C24" s="2" t="n">
        <v>395</v>
      </c>
      <c r="D24" s="2" t="n">
        <v>541.5</v>
      </c>
      <c r="E24" s="2" t="n">
        <v>739</v>
      </c>
      <c r="F24" s="2" t="n">
        <v>975.4</v>
      </c>
      <c r="G24" s="2" t="n"/>
      <c r="H24" s="2">
        <f>B24</f>
        <v/>
      </c>
      <c r="I24" s="2">
        <f>C24-B24</f>
        <v/>
      </c>
      <c r="J24" s="2">
        <f>E24-C24</f>
        <v/>
      </c>
      <c r="K24" s="2">
        <f>F24-E24</f>
        <v/>
      </c>
    </row>
    <row r="25">
      <c r="A25" t="n">
        <v>23</v>
      </c>
      <c r="B25" s="2" t="n">
        <v>303.5</v>
      </c>
      <c r="C25" s="2" t="n">
        <v>412.4</v>
      </c>
      <c r="D25" s="2" t="n">
        <v>565.9</v>
      </c>
      <c r="E25" s="2" t="n">
        <v>779.4</v>
      </c>
      <c r="F25" s="2" t="n">
        <v>1030.1</v>
      </c>
      <c r="G25" s="2" t="n"/>
      <c r="H25" s="2">
        <f>B25</f>
        <v/>
      </c>
      <c r="I25" s="2">
        <f>C25-B25</f>
        <v/>
      </c>
      <c r="J25" s="2">
        <f>E25-C25</f>
        <v/>
      </c>
      <c r="K25" s="2">
        <f>F25-E25</f>
        <v/>
      </c>
    </row>
    <row r="26">
      <c r="A26" t="n">
        <v>24</v>
      </c>
      <c r="B26" s="2" t="n">
        <v>313.9</v>
      </c>
      <c r="C26" s="2" t="n">
        <v>426.9</v>
      </c>
      <c r="D26" s="2" t="n">
        <v>591</v>
      </c>
      <c r="E26" s="2" t="n">
        <v>815.8</v>
      </c>
      <c r="F26" s="2" t="n">
        <v>1087.7</v>
      </c>
      <c r="G26" s="2" t="n"/>
      <c r="H26" s="2">
        <f>B26</f>
        <v/>
      </c>
      <c r="I26" s="2">
        <f>C26-B26</f>
        <v/>
      </c>
      <c r="J26" s="2">
        <f>E26-C26</f>
        <v/>
      </c>
      <c r="K26" s="2">
        <f>F26-E26</f>
        <v/>
      </c>
    </row>
    <row r="27">
      <c r="A27" t="n">
        <v>25</v>
      </c>
      <c r="B27" s="2" t="n">
        <v>324.3</v>
      </c>
      <c r="C27" s="2" t="n">
        <v>445.6</v>
      </c>
      <c r="D27" s="2" t="n">
        <v>617.8</v>
      </c>
      <c r="E27" s="2" t="n">
        <v>861</v>
      </c>
      <c r="F27" s="2" t="n">
        <v>1148.5</v>
      </c>
      <c r="G27" s="2" t="n"/>
      <c r="H27" s="2">
        <f>B27</f>
        <v/>
      </c>
      <c r="I27" s="2">
        <f>C27-B27</f>
        <v/>
      </c>
      <c r="J27" s="2">
        <f>E27-C27</f>
        <v/>
      </c>
      <c r="K27" s="2">
        <f>F27-E27</f>
        <v/>
      </c>
    </row>
    <row r="28">
      <c r="A28" t="n">
        <v>26</v>
      </c>
      <c r="B28" s="2" t="n">
        <v>0</v>
      </c>
      <c r="C28" s="2" t="n">
        <v>0</v>
      </c>
      <c r="D28" s="2" t="n">
        <v>153.3</v>
      </c>
      <c r="E28" s="2" t="n">
        <v>409.6</v>
      </c>
      <c r="F28" s="2" t="n">
        <v>717.9</v>
      </c>
      <c r="G28" s="2" t="n"/>
      <c r="H28" s="2">
        <f>B28</f>
        <v/>
      </c>
      <c r="I28" s="2">
        <f>C28-B28</f>
        <v/>
      </c>
      <c r="J28" s="2">
        <f>E28-C28</f>
        <v/>
      </c>
      <c r="K28" s="2">
        <f>F28-E28</f>
        <v/>
      </c>
    </row>
    <row r="29">
      <c r="A29" t="n">
        <v>27</v>
      </c>
      <c r="B29" s="2" t="n">
        <v>0</v>
      </c>
      <c r="C29" s="2" t="n">
        <v>0</v>
      </c>
      <c r="D29" s="2" t="n">
        <v>159</v>
      </c>
      <c r="E29" s="2" t="n">
        <v>426.2</v>
      </c>
      <c r="F29" s="2" t="n">
        <v>748.6</v>
      </c>
      <c r="G29" s="2" t="n"/>
      <c r="H29" s="2">
        <f>B29</f>
        <v/>
      </c>
      <c r="I29" s="2">
        <f>C29-B29</f>
        <v/>
      </c>
      <c r="J29" s="2">
        <f>E29-C29</f>
        <v/>
      </c>
      <c r="K29" s="2">
        <f>F29-E29</f>
        <v/>
      </c>
    </row>
    <row r="30">
      <c r="A30" t="n">
        <v>28</v>
      </c>
      <c r="B30" s="2" t="n">
        <v>0</v>
      </c>
      <c r="C30" s="2" t="n">
        <v>0</v>
      </c>
      <c r="D30" s="2" t="n">
        <v>164.4</v>
      </c>
      <c r="E30" s="2" t="n">
        <v>445.1</v>
      </c>
      <c r="F30" s="2" t="n">
        <v>786.4</v>
      </c>
      <c r="G30" s="2" t="n"/>
      <c r="H30" s="2">
        <f>B30</f>
        <v/>
      </c>
      <c r="I30" s="2">
        <f>C30-B30</f>
        <v/>
      </c>
      <c r="J30" s="2">
        <f>E30-C30</f>
        <v/>
      </c>
      <c r="K30" s="2">
        <f>F30-E30</f>
        <v/>
      </c>
    </row>
    <row r="31">
      <c r="A31" t="n">
        <v>29</v>
      </c>
      <c r="B31" s="2" t="n">
        <v>0</v>
      </c>
      <c r="C31" s="2" t="n">
        <v>0</v>
      </c>
      <c r="D31" s="2" t="n">
        <v>172.3</v>
      </c>
      <c r="E31" s="2" t="n">
        <v>464.7</v>
      </c>
      <c r="F31" s="2" t="n">
        <v>829.6</v>
      </c>
      <c r="G31" s="2" t="n"/>
      <c r="H31" s="2">
        <f>B31</f>
        <v/>
      </c>
      <c r="I31" s="2">
        <f>C31-B31</f>
        <v/>
      </c>
      <c r="J31" s="2">
        <f>E31-C31</f>
        <v/>
      </c>
      <c r="K31" s="2">
        <f>F31-E31</f>
        <v/>
      </c>
    </row>
    <row r="32">
      <c r="A32" t="n">
        <v>30</v>
      </c>
      <c r="B32" s="2" t="n">
        <v>0</v>
      </c>
      <c r="C32" s="2" t="n">
        <v>0</v>
      </c>
      <c r="D32" s="2" t="n">
        <v>180.1</v>
      </c>
      <c r="E32" s="2" t="n">
        <v>490.1</v>
      </c>
      <c r="F32" s="2" t="n">
        <v>879.3</v>
      </c>
      <c r="G32" s="2" t="n"/>
      <c r="H32" s="2">
        <f>B32</f>
        <v/>
      </c>
      <c r="I32" s="2">
        <f>C32-B32</f>
        <v/>
      </c>
      <c r="J32" s="2">
        <f>E32-C32</f>
        <v/>
      </c>
      <c r="K32" s="2">
        <f>F32-E32</f>
        <v/>
      </c>
    </row>
    <row r="33">
      <c r="A33" t="n">
        <v>31</v>
      </c>
      <c r="B33" s="2" t="n">
        <v>0</v>
      </c>
      <c r="C33" s="2" t="n">
        <v>0</v>
      </c>
      <c r="D33" s="2" t="n">
        <v>188.2</v>
      </c>
      <c r="E33" s="2" t="n">
        <v>515.1</v>
      </c>
      <c r="F33" s="2" t="n">
        <v>924.3</v>
      </c>
      <c r="G33" s="2" t="n"/>
      <c r="H33" s="2">
        <f>B33</f>
        <v/>
      </c>
      <c r="I33" s="2">
        <f>C33-B33</f>
        <v/>
      </c>
      <c r="J33" s="2">
        <f>E33-C33</f>
        <v/>
      </c>
      <c r="K33" s="2">
        <f>F33-E33</f>
        <v/>
      </c>
    </row>
    <row r="34">
      <c r="A34" t="n">
        <v>32</v>
      </c>
      <c r="B34" s="2" t="n">
        <v>0</v>
      </c>
      <c r="C34" s="2" t="n">
        <v>0</v>
      </c>
      <c r="D34" s="2" t="n">
        <v>196.6</v>
      </c>
      <c r="E34" s="2" t="n">
        <v>536.3</v>
      </c>
      <c r="F34" s="2" t="n">
        <v>975.5</v>
      </c>
      <c r="G34" s="2" t="n"/>
      <c r="H34" s="2">
        <f>B34</f>
        <v/>
      </c>
      <c r="I34" s="2">
        <f>C34-B34</f>
        <v/>
      </c>
      <c r="J34" s="2">
        <f>E34-C34</f>
        <v/>
      </c>
      <c r="K34" s="2">
        <f>F34-E34</f>
        <v/>
      </c>
    </row>
    <row r="35">
      <c r="A35" t="n">
        <v>33</v>
      </c>
      <c r="B35" s="2" t="n">
        <v>0</v>
      </c>
      <c r="C35" s="2" t="n">
        <v>0</v>
      </c>
      <c r="D35" s="2" t="n">
        <v>204.2</v>
      </c>
      <c r="E35" s="2" t="n">
        <v>561</v>
      </c>
      <c r="F35" s="2" t="n">
        <v>1014.1</v>
      </c>
      <c r="G35" s="2" t="n"/>
      <c r="H35" s="2">
        <f>B35</f>
        <v/>
      </c>
      <c r="I35" s="2">
        <f>C35-B35</f>
        <v/>
      </c>
      <c r="J35" s="2">
        <f>E35-C35</f>
        <v/>
      </c>
      <c r="K35" s="2">
        <f>F35-E35</f>
        <v/>
      </c>
    </row>
    <row r="36">
      <c r="A36" t="n">
        <v>34</v>
      </c>
      <c r="B36" s="2" t="n">
        <v>0</v>
      </c>
      <c r="C36" s="2" t="n">
        <v>0</v>
      </c>
      <c r="D36" s="2" t="n">
        <v>212.8</v>
      </c>
      <c r="E36" s="2" t="n">
        <v>586.8</v>
      </c>
      <c r="F36" s="2" t="n">
        <v>1070.5</v>
      </c>
      <c r="G36" s="2" t="n"/>
      <c r="H36" s="2">
        <f>B36</f>
        <v/>
      </c>
      <c r="I36" s="2">
        <f>C36-B36</f>
        <v/>
      </c>
      <c r="J36" s="2">
        <f>E36-C36</f>
        <v/>
      </c>
      <c r="K36" s="2">
        <f>F36-E36</f>
        <v/>
      </c>
    </row>
    <row r="37">
      <c r="A37" t="n">
        <v>35</v>
      </c>
      <c r="B37" s="2" t="n">
        <v>0</v>
      </c>
      <c r="C37" s="2" t="n">
        <v>0</v>
      </c>
      <c r="D37" s="2" t="n">
        <v>220.6</v>
      </c>
      <c r="E37" s="2" t="n">
        <v>613.2</v>
      </c>
      <c r="F37" s="2" t="n">
        <v>1126.6</v>
      </c>
      <c r="G37" s="2" t="n"/>
      <c r="H37" s="2">
        <f>B37</f>
        <v/>
      </c>
      <c r="I37" s="2">
        <f>C37-B37</f>
        <v/>
      </c>
      <c r="J37" s="2">
        <f>E37-C37</f>
        <v/>
      </c>
      <c r="K37" s="2">
        <f>F37-E37</f>
        <v/>
      </c>
    </row>
    <row r="38">
      <c r="A38" t="n">
        <v>36</v>
      </c>
      <c r="B38" s="2" t="n">
        <v>0</v>
      </c>
      <c r="C38" s="2" t="n">
        <v>0</v>
      </c>
      <c r="D38" s="2" t="n">
        <v>230.3</v>
      </c>
      <c r="E38" s="2" t="n">
        <v>645.6</v>
      </c>
      <c r="F38" s="2" t="n">
        <v>1190.5</v>
      </c>
      <c r="G38" s="2" t="n"/>
      <c r="H38" s="2">
        <f>B38</f>
        <v/>
      </c>
      <c r="I38" s="2">
        <f>C38-B38</f>
        <v/>
      </c>
      <c r="J38" s="2">
        <f>E38-C38</f>
        <v/>
      </c>
      <c r="K38" s="2">
        <f>F38-E38</f>
        <v/>
      </c>
    </row>
    <row r="39">
      <c r="A39" t="n">
        <v>37</v>
      </c>
      <c r="B39" s="2" t="n">
        <v>0</v>
      </c>
      <c r="C39" s="2" t="n">
        <v>0</v>
      </c>
      <c r="D39" s="2" t="n">
        <v>239.6</v>
      </c>
      <c r="E39" s="2" t="n">
        <v>676.6</v>
      </c>
      <c r="F39" s="2" t="n">
        <v>1255.5</v>
      </c>
      <c r="G39" s="2" t="n"/>
      <c r="H39" s="2">
        <f>B39</f>
        <v/>
      </c>
      <c r="I39" s="2">
        <f>C39-B39</f>
        <v/>
      </c>
      <c r="J39" s="2">
        <f>E39-C39</f>
        <v/>
      </c>
      <c r="K39" s="2">
        <f>F39-E39</f>
        <v/>
      </c>
    </row>
    <row r="40">
      <c r="A40" t="n">
        <v>38</v>
      </c>
      <c r="B40" s="2" t="n">
        <v>0</v>
      </c>
      <c r="C40" s="2" t="n">
        <v>0</v>
      </c>
      <c r="D40" s="2" t="n">
        <v>251.4</v>
      </c>
      <c r="E40" s="2" t="n">
        <v>707.7</v>
      </c>
      <c r="F40" s="2" t="n">
        <v>1321.8</v>
      </c>
      <c r="G40" s="2" t="n"/>
      <c r="H40" s="2">
        <f>B40</f>
        <v/>
      </c>
      <c r="I40" s="2">
        <f>C40-B40</f>
        <v/>
      </c>
      <c r="J40" s="2">
        <f>E40-C40</f>
        <v/>
      </c>
      <c r="K40" s="2">
        <f>F40-E40</f>
        <v/>
      </c>
    </row>
    <row r="41">
      <c r="A41" t="n">
        <v>39</v>
      </c>
      <c r="B41" s="2" t="n">
        <v>0</v>
      </c>
      <c r="C41" s="2" t="n">
        <v>0</v>
      </c>
      <c r="D41" s="2" t="n">
        <v>262.5</v>
      </c>
      <c r="E41" s="2" t="n">
        <v>741.8</v>
      </c>
      <c r="F41" s="2" t="n">
        <v>1386.3</v>
      </c>
      <c r="G41" s="2" t="n"/>
      <c r="H41" s="2">
        <f>B41</f>
        <v/>
      </c>
      <c r="I41" s="2">
        <f>C41-B41</f>
        <v/>
      </c>
      <c r="J41" s="2">
        <f>E41-C41</f>
        <v/>
      </c>
      <c r="K41" s="2">
        <f>F41-E41</f>
        <v/>
      </c>
    </row>
    <row r="42">
      <c r="A42" t="n">
        <v>40</v>
      </c>
      <c r="B42" s="2" t="n">
        <v>0</v>
      </c>
      <c r="C42" s="2" t="n">
        <v>0</v>
      </c>
      <c r="D42" s="2" t="n">
        <v>274.5</v>
      </c>
      <c r="E42" s="2" t="n">
        <v>771.9</v>
      </c>
      <c r="F42" s="2" t="n">
        <v>1464.1</v>
      </c>
      <c r="G42" s="2" t="n"/>
      <c r="H42" s="2">
        <f>B42</f>
        <v/>
      </c>
      <c r="I42" s="2">
        <f>C42-B42</f>
        <v/>
      </c>
      <c r="J42" s="2">
        <f>E42-C42</f>
        <v/>
      </c>
      <c r="K42" s="2">
        <f>F42-E42</f>
        <v/>
      </c>
    </row>
    <row r="43">
      <c r="A43" t="n">
        <v>41</v>
      </c>
      <c r="B43" s="2" t="n">
        <v>0</v>
      </c>
      <c r="C43" s="2" t="n">
        <v>0</v>
      </c>
      <c r="D43" s="2" t="n">
        <v>287</v>
      </c>
      <c r="E43" s="2" t="n">
        <v>809.7</v>
      </c>
      <c r="F43" s="2" t="n">
        <v>1529</v>
      </c>
      <c r="G43" s="2" t="n"/>
      <c r="H43" s="2">
        <f>B43</f>
        <v/>
      </c>
      <c r="I43" s="2">
        <f>C43-B43</f>
        <v/>
      </c>
      <c r="J43" s="2">
        <f>E43-C43</f>
        <v/>
      </c>
      <c r="K43" s="2">
        <f>F43-E43</f>
        <v/>
      </c>
    </row>
    <row r="44">
      <c r="A44" t="n">
        <v>42</v>
      </c>
      <c r="B44" s="2" t="n">
        <v>0</v>
      </c>
      <c r="C44" s="2" t="n">
        <v>0</v>
      </c>
      <c r="D44" s="2" t="n">
        <v>298.5</v>
      </c>
      <c r="E44" s="2" t="n">
        <v>843.7</v>
      </c>
      <c r="F44" s="2" t="n">
        <v>1611.8</v>
      </c>
      <c r="G44" s="2" t="n"/>
      <c r="H44" s="2">
        <f>B44</f>
        <v/>
      </c>
      <c r="I44" s="2">
        <f>C44-B44</f>
        <v/>
      </c>
      <c r="J44" s="2">
        <f>E44-C44</f>
        <v/>
      </c>
      <c r="K44" s="2">
        <f>F44-E44</f>
        <v/>
      </c>
    </row>
    <row r="45">
      <c r="A45" t="n">
        <v>43</v>
      </c>
      <c r="B45" s="2" t="n">
        <v>0</v>
      </c>
      <c r="C45" s="2" t="n">
        <v>0</v>
      </c>
      <c r="D45" s="2" t="n">
        <v>312.9</v>
      </c>
      <c r="E45" s="2" t="n">
        <v>881.2</v>
      </c>
      <c r="F45" s="2" t="n">
        <v>1695.2</v>
      </c>
      <c r="G45" s="2" t="n"/>
      <c r="H45" s="2">
        <f>B45</f>
        <v/>
      </c>
      <c r="I45" s="2">
        <f>C45-B45</f>
        <v/>
      </c>
      <c r="J45" s="2">
        <f>E45-C45</f>
        <v/>
      </c>
      <c r="K45" s="2">
        <f>F45-E45</f>
        <v/>
      </c>
    </row>
    <row r="46">
      <c r="A46" t="n">
        <v>44</v>
      </c>
      <c r="B46" s="2" t="n">
        <v>0</v>
      </c>
      <c r="C46" s="2" t="n">
        <v>0</v>
      </c>
      <c r="D46" s="2" t="n">
        <v>326.3</v>
      </c>
      <c r="E46" s="2" t="n">
        <v>920.2</v>
      </c>
      <c r="F46" s="2" t="n">
        <v>1785.8</v>
      </c>
      <c r="G46" s="2" t="n"/>
      <c r="H46" s="2">
        <f>B46</f>
        <v/>
      </c>
      <c r="I46" s="2">
        <f>C46-B46</f>
        <v/>
      </c>
      <c r="J46" s="2">
        <f>E46-C46</f>
        <v/>
      </c>
      <c r="K46" s="2">
        <f>F46-E46</f>
        <v/>
      </c>
    </row>
    <row r="47">
      <c r="A47" t="n">
        <v>45</v>
      </c>
      <c r="B47" s="2" t="n">
        <v>0</v>
      </c>
      <c r="C47" s="2" t="n">
        <v>0</v>
      </c>
      <c r="D47" s="2" t="n">
        <v>340.3</v>
      </c>
      <c r="E47" s="2" t="n">
        <v>966.1</v>
      </c>
      <c r="F47" s="2" t="n">
        <v>1872</v>
      </c>
      <c r="G47" s="2" t="n"/>
      <c r="H47" s="2">
        <f>B47</f>
        <v/>
      </c>
      <c r="I47" s="2">
        <f>C47-B47</f>
        <v/>
      </c>
      <c r="J47" s="2">
        <f>E47-C47</f>
        <v/>
      </c>
      <c r="K47" s="2">
        <f>F47-E47</f>
        <v/>
      </c>
    </row>
    <row r="48">
      <c r="A48" t="n">
        <v>46</v>
      </c>
      <c r="B48" s="2" t="n">
        <v>0</v>
      </c>
      <c r="C48" s="2" t="n">
        <v>0</v>
      </c>
      <c r="D48" s="2" t="n">
        <v>352.4</v>
      </c>
      <c r="E48" s="2" t="n">
        <v>1009.5</v>
      </c>
      <c r="F48" s="2" t="n">
        <v>1973.1</v>
      </c>
      <c r="G48" s="2" t="n"/>
      <c r="H48" s="2">
        <f>B48</f>
        <v/>
      </c>
      <c r="I48" s="2">
        <f>C48-B48</f>
        <v/>
      </c>
      <c r="J48" s="2">
        <f>E48-C48</f>
        <v/>
      </c>
      <c r="K48" s="2">
        <f>F48-E48</f>
        <v/>
      </c>
    </row>
    <row r="49">
      <c r="A49" t="n">
        <v>47</v>
      </c>
      <c r="B49" s="2" t="n">
        <v>0</v>
      </c>
      <c r="C49" s="2" t="n">
        <v>0</v>
      </c>
      <c r="D49" s="2" t="n">
        <v>367.7</v>
      </c>
      <c r="E49" s="2" t="n">
        <v>1062.5</v>
      </c>
      <c r="F49" s="2" t="n">
        <v>2067.6</v>
      </c>
      <c r="G49" s="2" t="n"/>
      <c r="H49" s="2">
        <f>B49</f>
        <v/>
      </c>
      <c r="I49" s="2">
        <f>C49-B49</f>
        <v/>
      </c>
      <c r="J49" s="2">
        <f>E49-C49</f>
        <v/>
      </c>
      <c r="K49" s="2">
        <f>F49-E49</f>
        <v/>
      </c>
    </row>
    <row r="50">
      <c r="A50" t="n">
        <v>48</v>
      </c>
      <c r="B50" s="2" t="n">
        <v>0</v>
      </c>
      <c r="C50" s="2" t="n">
        <v>0</v>
      </c>
      <c r="D50" s="2" t="n">
        <v>382.1</v>
      </c>
      <c r="E50" s="2" t="n">
        <v>1111.9</v>
      </c>
      <c r="F50" s="2" t="n">
        <v>2167.1</v>
      </c>
      <c r="G50" s="2" t="n"/>
      <c r="H50" s="2">
        <f>B50</f>
        <v/>
      </c>
      <c r="I50" s="2">
        <f>C50-B50</f>
        <v/>
      </c>
      <c r="J50" s="2">
        <f>E50-C50</f>
        <v/>
      </c>
      <c r="K50" s="2">
        <f>F50-E50</f>
        <v/>
      </c>
    </row>
    <row r="51">
      <c r="A51" t="n">
        <v>49</v>
      </c>
      <c r="B51" s="2" t="n">
        <v>0</v>
      </c>
      <c r="C51" s="2" t="n">
        <v>0</v>
      </c>
      <c r="D51" s="2" t="n">
        <v>400.1</v>
      </c>
      <c r="E51" s="2" t="n">
        <v>1158.5</v>
      </c>
      <c r="F51" s="2" t="n">
        <v>2275.5</v>
      </c>
      <c r="G51" s="2" t="n"/>
      <c r="H51" s="2">
        <f>B51</f>
        <v/>
      </c>
      <c r="I51" s="2">
        <f>C51-B51</f>
        <v/>
      </c>
      <c r="J51" s="2">
        <f>E51-C51</f>
        <v/>
      </c>
      <c r="K51" s="2">
        <f>F51-E51</f>
        <v/>
      </c>
    </row>
    <row r="52">
      <c r="A52" t="n">
        <v>50</v>
      </c>
      <c r="B52" s="2" t="n">
        <v>0</v>
      </c>
      <c r="C52" s="2" t="n">
        <v>0</v>
      </c>
      <c r="D52" s="2" t="n">
        <v>414.3</v>
      </c>
      <c r="E52" s="2" t="n">
        <v>1208.6</v>
      </c>
      <c r="F52" s="2" t="n">
        <v>2387.5</v>
      </c>
      <c r="G52" s="2" t="n"/>
      <c r="H52" s="2">
        <f>B52</f>
        <v/>
      </c>
      <c r="I52" s="2">
        <f>C52-B52</f>
        <v/>
      </c>
      <c r="J52" s="2">
        <f>E52-C52</f>
        <v/>
      </c>
      <c r="K52" s="2">
        <f>F52-E52</f>
        <v/>
      </c>
    </row>
    <row r="54">
      <c r="A54" t="inlineStr">
        <is>
          <t>Miles de USD de hoy. Percentiles del patrimonio al cierre de cada año en 20.000 escenarios del Montecarlo oficial. Las columnas H-K son las franjas que se apilan en el gráfico (la base va sin relleno). Fuente: codigo/analisis_complementario.py.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2026-10-19T19:48:02Z</dcterms:created>
  <dcterms:modified xmlns:dcterms="http://purl.org/dc/terms/" xmlns:xsi="http://www.w3.org/2001/XMLSchema-instance" xsi:type="dcterms:W3CDTF">2026-10-19T19:48:02Z</dcterms:modified>
</cp:coreProperties>
</file>