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Fig1 TIR" sheetId="2" state="visible" r:id="rId2"/>
    <sheet xmlns:r="http://schemas.openxmlformats.org/officeDocument/2006/relationships" name="Fig1B TIR versión B" sheetId="3" state="visible" r:id="rId3"/>
    <sheet xmlns:r="http://schemas.openxmlformats.org/officeDocument/2006/relationships" name="Fig2 Asignación" sheetId="4" state="visible" r:id="rId4"/>
    <sheet xmlns:r="http://schemas.openxmlformats.org/officeDocument/2006/relationships" name="Fig3 Riesgo" sheetId="5" state="visible" r:id="rId5"/>
    <sheet xmlns:r="http://schemas.openxmlformats.org/officeDocument/2006/relationships" name="Fig4 Crecimiento" sheetId="6" state="visible" r:id="rId6"/>
    <sheet xmlns:r="http://schemas.openxmlformats.org/officeDocument/2006/relationships" name="Fig5 Caídas" sheetId="7" state="visible" r:id="rId7"/>
    <sheet xmlns:r="http://schemas.openxmlformats.org/officeDocument/2006/relationships" name="Fig6 Montecarlo" sheetId="8" state="visible" r:id="rId8"/>
    <sheet xmlns:r="http://schemas.openxmlformats.org/officeDocument/2006/relationships" name="Fig7 Abanico" sheetId="9" state="visible" r:id="rId9"/>
    <sheet xmlns:r="http://schemas.openxmlformats.org/officeDocument/2006/relationships" name="Fig8 Robustez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1"/>
    <xf numFmtId="0" fontId="0" fillId="0" borderId="0" applyAlignment="1" pivotButton="0" quotePrefix="0" xfId="0">
      <alignment/>
    </xf>
    <xf numFmtId="0" fontId="2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7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Retorno real requerido para cumplir los tres objetivos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'Fig1 TIR'!B4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'Fig1 TIR'!$A$5:$A$13</f>
            </numRef>
          </cat>
          <val>
            <numRef>
              <f>'Fig1 TIR'!$B$5:$B$13</f>
            </numRef>
          </val>
        </ser>
        <dLbls>
          <numFmt formatCode="0.00%"/>
          <showVal val="1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TIR real anual requerida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Retorno real requerido para cumplir los tres objetivos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'Fig1B TIR versión B'!B4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dPt>
            <idx val="1"/>
            <spPr>
              <a:solidFill xmlns:a="http://schemas.openxmlformats.org/drawingml/2006/main">
                <a:srgbClr val="EB6834"/>
              </a:solidFill>
              <a:ln xmlns:a="http://schemas.openxmlformats.org/drawingml/2006/main">
                <a:prstDash val="solid"/>
              </a:ln>
            </spPr>
          </dPt>
          <cat>
            <numRef>
              <f>'Fig1B TIR versión B'!$A$5:$A$14</f>
            </numRef>
          </cat>
          <val>
            <numRef>
              <f>'Fig1B TIR versión B'!$B$5:$B$14</f>
            </numRef>
          </val>
        </ser>
        <dLbls>
          <numFmt formatCode="0.00%"/>
          <showVal val="1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TIR real anual requerida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Asignación estratégica: Black-Litterman frente a sus referencias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'Fig2 Asignación'!B4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'Fig2 Asignación'!$A$5:$A$10</f>
            </numRef>
          </cat>
          <val>
            <numRef>
              <f>'Fig2 Asignación'!$B$5:$B$10</f>
            </numRef>
          </val>
        </ser>
        <ser>
          <idx val="1"/>
          <order val="1"/>
          <tx>
            <strRef>
              <f>'Fig2 Asignación'!C4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'Fig2 Asignación'!$A$5:$A$10</f>
            </numRef>
          </cat>
          <val>
            <numRef>
              <f>'Fig2 Asignación'!$C$5:$C$10</f>
            </numRef>
          </val>
        </ser>
        <ser>
          <idx val="2"/>
          <order val="2"/>
          <tx>
            <strRef>
              <f>'Fig2 Asignación'!D4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'Fig2 Asignación'!$A$5:$A$10</f>
            </numRef>
          </cat>
          <val>
            <numRef>
              <f>'Fig2 Asignación'!$D$5:$D$10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Peso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Peso frente a contribución al riesgo total de la cartera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'Fig3 Riesgo'!B4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'Fig3 Riesgo'!$A$5:$A$10</f>
            </numRef>
          </cat>
          <val>
            <numRef>
              <f>'Fig3 Riesgo'!$B$5:$B$10</f>
            </numRef>
          </val>
        </ser>
        <ser>
          <idx val="1"/>
          <order val="1"/>
          <tx>
            <strRef>
              <f>'Fig3 Riesgo'!C4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'Fig3 Riesgo'!$A$5:$A$10</f>
            </numRef>
          </cat>
          <val>
            <numRef>
              <f>'Fig3 Riesgo'!$C$5:$C$10</f>
            </numRef>
          </val>
        </ser>
        <dLbls>
          <numFmt formatCode="0.0%"/>
          <showVal val="1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Crecimiento de USD 100</a:t>
            </a:r>
          </a:p>
        </rich>
      </tx>
    </title>
    <plotArea>
      <lineChart>
        <grouping val="standard"/>
        <ser>
          <idx val="0"/>
          <order val="0"/>
          <tx>
            <strRef>
              <f>'Fig4 Crecimiento'!B4</f>
            </strRef>
          </tx>
          <spPr>
            <a:ln xmlns:a="http://schemas.openxmlformats.org/drawingml/2006/main" w="2857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'Fig4 Crecimiento'!$A$5:$A$132</f>
            </numRef>
          </cat>
          <val>
            <numRef>
              <f>'Fig4 Crecimiento'!$B$5:$B$132</f>
            </numRef>
          </val>
          <smooth val="0"/>
        </ser>
        <ser>
          <idx val="1"/>
          <order val="1"/>
          <tx>
            <strRef>
              <f>'Fig4 Crecimiento'!C4</f>
            </strRef>
          </tx>
          <spPr>
            <a:ln xmlns:a="http://schemas.openxmlformats.org/drawingml/2006/main" w="1905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'Fig4 Crecimiento'!$A$5:$A$132</f>
            </numRef>
          </cat>
          <val>
            <numRef>
              <f>'Fig4 Crecimiento'!$C$5:$C$132</f>
            </numRef>
          </val>
          <smooth val="0"/>
        </ser>
        <ser>
          <idx val="2"/>
          <order val="2"/>
          <tx>
            <strRef>
              <f>'Fig4 Crecimiento'!D4</f>
            </strRef>
          </tx>
          <spPr>
            <a:ln xmlns:a="http://schemas.openxmlformats.org/drawingml/2006/main" w="19050">
              <a:solidFill>
                <a:srgbClr val="1BAF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'Fig4 Crecimiento'!$A$5:$A$132</f>
            </numRef>
          </cat>
          <val>
            <numRef>
              <f>'Fig4 Crecimiento'!$D$5:$D$132</f>
            </numRef>
          </val>
          <smooth val="0"/>
        </ser>
        <ser>
          <idx val="3"/>
          <order val="3"/>
          <tx>
            <strRef>
              <f>'Fig4 Crecimiento'!E4</f>
            </strRef>
          </tx>
          <spPr>
            <a:ln xmlns:a="http://schemas.openxmlformats.org/drawingml/2006/main" w="19050">
              <a:solidFill>
                <a:srgbClr val="EDA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'Fig4 Crecimiento'!$A$5:$A$132</f>
            </numRef>
          </cat>
          <val>
            <numRef>
              <f>'Fig4 Crecimiento'!$E$5:$E$132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de USD 100 invertidos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Caídas desde el máximo</a:t>
            </a:r>
          </a:p>
        </rich>
      </tx>
    </title>
    <plotArea>
      <lineChart>
        <grouping val="standard"/>
        <ser>
          <idx val="0"/>
          <order val="0"/>
          <tx>
            <strRef>
              <f>'Fig5 Caídas'!B4</f>
            </strRef>
          </tx>
          <spPr>
            <a:ln xmlns:a="http://schemas.openxmlformats.org/drawingml/2006/main" w="2857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'Fig5 Caídas'!$A$5:$A$132</f>
            </numRef>
          </cat>
          <val>
            <numRef>
              <f>'Fig5 Caídas'!$B$5:$B$132</f>
            </numRef>
          </val>
          <smooth val="0"/>
        </ser>
        <ser>
          <idx val="1"/>
          <order val="1"/>
          <tx>
            <strRef>
              <f>'Fig5 Caídas'!C4</f>
            </strRef>
          </tx>
          <spPr>
            <a:ln xmlns:a="http://schemas.openxmlformats.org/drawingml/2006/main" w="19050">
              <a:solidFill>
                <a:srgbClr val="1BAF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'Fig5 Caídas'!$A$5:$A$132</f>
            </numRef>
          </cat>
          <val>
            <numRef>
              <f>'Fig5 Caídas'!$C$5:$C$132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  <tickLblSkip val="12"/>
        <tickMarkSkip val="1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Caída desde el máximo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Probabilidad de cumplir cada objetivo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'Fig6 Montecarlo'!B4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'Fig6 Montecarlo'!$A$5:$A$8</f>
            </numRef>
          </cat>
          <val>
            <numRef>
              <f>'Fig6 Montecarlo'!$B$5:$B$8</f>
            </numRef>
          </val>
        </ser>
        <ser>
          <idx val="1"/>
          <order val="1"/>
          <tx>
            <strRef>
              <f>'Fig6 Montecarlo'!C4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'Fig6 Montecarlo'!$A$5:$A$8</f>
            </numRef>
          </cat>
          <val>
            <numRef>
              <f>'Fig6 Montecarlo'!$C$5:$C$8</f>
            </numRef>
          </val>
        </ser>
        <ser>
          <idx val="2"/>
          <order val="2"/>
          <tx>
            <strRef>
              <f>'Fig6 Montecarlo'!D4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'Fig6 Montecarlo'!$A$5:$A$8</f>
            </numRef>
          </cat>
          <val>
            <numRef>
              <f>'Fig6 Montecarlo'!$D$5:$D$8</f>
            </numRef>
          </val>
        </ser>
        <ser>
          <idx val="3"/>
          <order val="3"/>
          <tx>
            <strRef>
              <f>'Fig6 Montecarlo'!E4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'Fig6 Montecarlo'!$A$5:$A$8</f>
            </numRef>
          </cat>
          <val>
            <numRef>
              <f>'Fig6 Montecarlo'!$E$5:$E$8</f>
            </numRef>
          </val>
        </ser>
        <dLbls>
          <numFmt formatCode="0%"/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Probabilidad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Retornos históricos 2013-2026</a:t>
            </a:r>
          </a:p>
        </rich>
      </tx>
    </title>
    <plotArea>
      <areaChart>
        <grouping val="stacked"/>
        <ser>
          <idx val="0"/>
          <order val="0"/>
          <tx>
            <strRef>
              <f>'Fig7 Abanico'!H5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'Fig7 Abanico'!$A$6:$A$56</f>
            </numRef>
          </cat>
          <val>
            <numRef>
              <f>'Fig7 Abanico'!$H$6:$H$56</f>
            </numRef>
          </val>
        </ser>
        <ser>
          <idx val="1"/>
          <order val="1"/>
          <tx>
            <strRef>
              <f>'Fig7 Abanico'!I5</f>
            </strRef>
          </tx>
          <spPr>
            <a:solidFill xmlns:a="http://schemas.openxmlformats.org/drawingml/2006/main">
              <a:srgbClr val="D6E4F7"/>
            </a:solidFill>
            <a:ln xmlns:a="http://schemas.openxmlformats.org/drawingml/2006/main">
              <a:noFill/>
              <a:prstDash val="solid"/>
            </a:ln>
          </spPr>
          <cat>
            <numRef>
              <f>'Fig7 Abanico'!$A$6:$A$56</f>
            </numRef>
          </cat>
          <val>
            <numRef>
              <f>'Fig7 Abanico'!$I$6:$I$56</f>
            </numRef>
          </val>
        </ser>
        <ser>
          <idx val="2"/>
          <order val="2"/>
          <tx>
            <strRef>
              <f>'Fig7 Abanico'!J5</f>
            </strRef>
          </tx>
          <spPr>
            <a:solidFill xmlns:a="http://schemas.openxmlformats.org/drawingml/2006/main">
              <a:srgbClr val="A9C6EE"/>
            </a:solidFill>
            <a:ln xmlns:a="http://schemas.openxmlformats.org/drawingml/2006/main">
              <a:noFill/>
              <a:prstDash val="solid"/>
            </a:ln>
          </spPr>
          <cat>
            <numRef>
              <f>'Fig7 Abanico'!$A$6:$A$56</f>
            </numRef>
          </cat>
          <val>
            <numRef>
              <f>'Fig7 Abanico'!$J$6:$J$56</f>
            </numRef>
          </val>
        </ser>
        <ser>
          <idx val="3"/>
          <order val="3"/>
          <tx>
            <strRef>
              <f>'Fig7 Abanico'!K5</f>
            </strRef>
          </tx>
          <spPr>
            <a:solidFill xmlns:a="http://schemas.openxmlformats.org/drawingml/2006/main">
              <a:srgbClr val="D6E4F7"/>
            </a:solidFill>
            <a:ln xmlns:a="http://schemas.openxmlformats.org/drawingml/2006/main">
              <a:noFill/>
              <a:prstDash val="solid"/>
            </a:ln>
          </spPr>
          <cat>
            <numRef>
              <f>'Fig7 Abanico'!$A$6:$A$56</f>
            </numRef>
          </cat>
          <val>
            <numRef>
              <f>'Fig7 Abanico'!$K$6:$K$56</f>
            </numRef>
          </val>
        </ser>
        <axId val="10"/>
        <axId val="100"/>
      </areaChart>
      <lineChart>
        <grouping val="standard"/>
        <ser>
          <idx val="4"/>
          <order val="4"/>
          <tx>
            <strRef>
              <f>'Fig7 Abanico'!D5</f>
            </strRef>
          </tx>
          <spPr>
            <a:ln xmlns:a="http://schemas.openxmlformats.org/drawingml/2006/main" w="2857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'Fig7 Abanico'!$A$6:$A$56</f>
            </numRef>
          </cat>
          <val>
            <numRef>
              <f>'Fig7 Abanico'!$D$6:$D$56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Patrimonio (miles de USD de hoy)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  <legendEntry>
        <idx val="0"/>
        <delete val="1"/>
      </legendEntry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Supuestos prospectivos</a:t>
            </a:r>
          </a:p>
        </rich>
      </tx>
    </title>
    <plotArea>
      <areaChart>
        <grouping val="stacked"/>
        <ser>
          <idx val="0"/>
          <order val="0"/>
          <tx>
            <strRef>
              <f>'Fig7 Abanico'!H60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'Fig7 Abanico'!$A$61:$A$111</f>
            </numRef>
          </cat>
          <val>
            <numRef>
              <f>'Fig7 Abanico'!$H$61:$H$111</f>
            </numRef>
          </val>
        </ser>
        <ser>
          <idx val="1"/>
          <order val="1"/>
          <tx>
            <strRef>
              <f>'Fig7 Abanico'!I60</f>
            </strRef>
          </tx>
          <spPr>
            <a:solidFill xmlns:a="http://schemas.openxmlformats.org/drawingml/2006/main">
              <a:srgbClr val="D6E4F7"/>
            </a:solidFill>
            <a:ln xmlns:a="http://schemas.openxmlformats.org/drawingml/2006/main">
              <a:noFill/>
              <a:prstDash val="solid"/>
            </a:ln>
          </spPr>
          <cat>
            <numRef>
              <f>'Fig7 Abanico'!$A$61:$A$111</f>
            </numRef>
          </cat>
          <val>
            <numRef>
              <f>'Fig7 Abanico'!$I$61:$I$111</f>
            </numRef>
          </val>
        </ser>
        <ser>
          <idx val="2"/>
          <order val="2"/>
          <tx>
            <strRef>
              <f>'Fig7 Abanico'!J60</f>
            </strRef>
          </tx>
          <spPr>
            <a:solidFill xmlns:a="http://schemas.openxmlformats.org/drawingml/2006/main">
              <a:srgbClr val="A9C6EE"/>
            </a:solidFill>
            <a:ln xmlns:a="http://schemas.openxmlformats.org/drawingml/2006/main">
              <a:noFill/>
              <a:prstDash val="solid"/>
            </a:ln>
          </spPr>
          <cat>
            <numRef>
              <f>'Fig7 Abanico'!$A$61:$A$111</f>
            </numRef>
          </cat>
          <val>
            <numRef>
              <f>'Fig7 Abanico'!$J$61:$J$111</f>
            </numRef>
          </val>
        </ser>
        <ser>
          <idx val="3"/>
          <order val="3"/>
          <tx>
            <strRef>
              <f>'Fig7 Abanico'!K60</f>
            </strRef>
          </tx>
          <spPr>
            <a:solidFill xmlns:a="http://schemas.openxmlformats.org/drawingml/2006/main">
              <a:srgbClr val="D6E4F7"/>
            </a:solidFill>
            <a:ln xmlns:a="http://schemas.openxmlformats.org/drawingml/2006/main">
              <a:noFill/>
              <a:prstDash val="solid"/>
            </a:ln>
          </spPr>
          <cat>
            <numRef>
              <f>'Fig7 Abanico'!$A$61:$A$111</f>
            </numRef>
          </cat>
          <val>
            <numRef>
              <f>'Fig7 Abanico'!$K$61:$K$111</f>
            </numRef>
          </val>
        </ser>
        <axId val="10"/>
        <axId val="100"/>
      </areaChart>
      <lineChart>
        <grouping val="standard"/>
        <ser>
          <idx val="4"/>
          <order val="4"/>
          <tx>
            <strRef>
              <f>'Fig7 Abanico'!D60</f>
            </strRef>
          </tx>
          <spPr>
            <a:ln xmlns:a="http://schemas.openxmlformats.org/drawingml/2006/main" w="2857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'Fig7 Abanico'!$A$61:$A$111</f>
            </numRef>
          </cat>
          <val>
            <numRef>
              <f>'Fig7 Abanico'!$D$61:$D$111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Patrimonio (miles de USD de hoy)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  <legendEntry>
        <idx val="0"/>
        <delete val="1"/>
      </legendEntry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Momentum: Sharpe 2013-2026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'Fig8 Robustez'!B5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EB6834"/>
              </a:solidFill>
              <a:ln xmlns:a="http://schemas.openxmlformats.org/drawingml/2006/main">
                <a:prstDash val="solid"/>
              </a:ln>
            </spPr>
          </dPt>
          <cat>
            <numRef>
              <f>'Fig8 Robustez'!$A$6:$A$13</f>
            </numRef>
          </cat>
          <val>
            <numRef>
              <f>'Fig8 Robustez'!$B$6:$B$13</f>
            </numRef>
          </val>
        </ser>
        <dLbls>
          <numFmt formatCode="0.00"/>
          <showVal val="1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Low-Volatility: Sharpe 2013-2026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'Fig8 Robustez'!B17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EB6834"/>
              </a:solidFill>
              <a:ln xmlns:a="http://schemas.openxmlformats.org/drawingml/2006/main">
                <a:prstDash val="solid"/>
              </a:ln>
            </spPr>
          </dPt>
          <cat>
            <numRef>
              <f>'Fig8 Robustez'!$A$18:$A$22</f>
            </numRef>
          </cat>
          <val>
            <numRef>
              <f>'Fig8 Robustez'!$B$18:$B$22</f>
            </numRef>
          </val>
        </ser>
        <dLbls>
          <numFmt formatCode="0.00"/>
          <showVal val="1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Commodities: Sharpe 2013-2026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'Fig8 Robustez'!B26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EB6834"/>
              </a:solidFill>
              <a:ln xmlns:a="http://schemas.openxmlformats.org/drawingml/2006/main">
                <a:prstDash val="solid"/>
              </a:ln>
            </spPr>
          </dPt>
          <cat>
            <numRef>
              <f>'Fig8 Robustez'!$A$27:$A$31</f>
            </numRef>
          </cat>
          <val>
            <numRef>
              <f>'Fig8 Robustez'!$B$27:$B$31</f>
            </numRef>
          </val>
        </ser>
        <dLbls>
          <numFmt formatCode="0.00"/>
          <showVal val="1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3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3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3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3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4</col>
      <colOff>0</colOff>
      <row>3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3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12</col>
      <colOff>0</colOff>
      <row>3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29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3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51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Fig1 TIR'!A1" TargetMode="External" Id="rId1"/><Relationship Type="http://schemas.openxmlformats.org/officeDocument/2006/relationships/hyperlink" Target="#'Fig1B TIR versi&#243;n B'!A1" TargetMode="External" Id="rId2"/><Relationship Type="http://schemas.openxmlformats.org/officeDocument/2006/relationships/hyperlink" Target="#'Fig2 Asignaci&#243;n'!A1" TargetMode="External" Id="rId3"/><Relationship Type="http://schemas.openxmlformats.org/officeDocument/2006/relationships/hyperlink" Target="#'Fig3 Riesgo'!A1" TargetMode="External" Id="rId4"/><Relationship Type="http://schemas.openxmlformats.org/officeDocument/2006/relationships/hyperlink" Target="#'Fig4 Crecimiento'!A1" TargetMode="External" Id="rId5"/><Relationship Type="http://schemas.openxmlformats.org/officeDocument/2006/relationships/hyperlink" Target="#'Fig5 Ca&#237;das'!A1" TargetMode="External" Id="rId6"/><Relationship Type="http://schemas.openxmlformats.org/officeDocument/2006/relationships/hyperlink" Target="#'Fig6 Montecarlo'!A1" TargetMode="External" Id="rId7"/><Relationship Type="http://schemas.openxmlformats.org/officeDocument/2006/relationships/hyperlink" Target="#'Fig7 Abanico'!A1" TargetMode="External" Id="rId8"/><Relationship Type="http://schemas.openxmlformats.org/officeDocument/2006/relationships/hyperlink" Target="#'Fig8 Robustez'!A1" TargetMode="External" Id="rId9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Figuras del Informe Final Nexum: una hoja por figura, con los datos y el gráfico</t>
        </is>
      </c>
    </row>
    <row r="2">
      <c r="A2" t="inlineStr">
        <is>
          <t>Generado con codigo/figuras_excel.py a partir de los mismos resultados del informe (resultados/estado.pkl).</t>
        </is>
      </c>
    </row>
    <row r="4">
      <c r="A4" s="2" t="inlineStr">
        <is>
          <t>Figura 1. TIR real requerida por escenario</t>
        </is>
      </c>
    </row>
    <row r="5">
      <c r="A5" s="2" t="inlineStr">
        <is>
          <t>Figura 1, versión B (barra naranja: 3,63%)</t>
        </is>
      </c>
    </row>
    <row r="6">
      <c r="A6" s="2" t="inlineStr">
        <is>
          <t>Figura 2. Asignación estratégica</t>
        </is>
      </c>
    </row>
    <row r="7">
      <c r="A7" s="2" t="inlineStr">
        <is>
          <t>Figura 3. Peso vs contribución al riesgo</t>
        </is>
      </c>
    </row>
    <row r="8">
      <c r="A8" s="2" t="inlineStr">
        <is>
          <t>Figura 4. Crecimiento de USD 100</t>
        </is>
      </c>
    </row>
    <row r="9">
      <c r="A9" s="2" t="inlineStr">
        <is>
          <t>Figura 5. Caídas desde el máximo</t>
        </is>
      </c>
    </row>
    <row r="10">
      <c r="A10" s="2" t="inlineStr">
        <is>
          <t>Figura 6. Probabilidad por objetivo</t>
        </is>
      </c>
    </row>
    <row r="11">
      <c r="A11" s="2" t="inlineStr">
        <is>
          <t>Figura 7. Abanico del patrimonio</t>
        </is>
      </c>
    </row>
    <row r="12">
      <c r="A12" s="2" t="inlineStr">
        <is>
          <t>Figura 8. Robustez de parámetros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Figura 1. TIR real requerida por escenario</t>
        </is>
      </c>
    </row>
    <row r="2">
      <c r="A2" s="3" t="inlineStr">
        <is>
          <t>Fuente: codigo/objetivos.py (TIR de los flujos de cada escenario); modelo, hoja 02_Objetivos_TIR (fórmula IRR).</t>
        </is>
      </c>
    </row>
    <row r="4">
      <c r="A4" s="4" t="inlineStr">
        <is>
          <t>Escenario</t>
        </is>
      </c>
      <c r="B4" s="4" t="inlineStr">
        <is>
          <t>TIR real requerida</t>
        </is>
      </c>
    </row>
    <row r="5">
      <c r="A5" t="inlineStr">
        <is>
          <t>Base: flujos del enunciado (19 aportes reales)</t>
        </is>
      </c>
      <c r="B5" s="5" t="n">
        <v>0.0465</v>
      </c>
    </row>
    <row r="6">
      <c r="A6" t="inlineStr">
        <is>
          <t>14 aportes efectivos (riesgo de empleo)</t>
        </is>
      </c>
      <c r="B6" s="5" t="n">
        <v>0.0503</v>
      </c>
    </row>
    <row r="7">
      <c r="A7" t="inlineStr">
        <is>
          <t>Aportes en USD nominales (inflación 2,5%)</t>
        </is>
      </c>
      <c r="B7" s="5" t="n">
        <v>0.0504</v>
      </c>
    </row>
    <row r="8">
      <c r="A8" t="inlineStr">
        <is>
          <t>Arancel crece 2% real anual</t>
        </is>
      </c>
      <c r="B8" s="5" t="n">
        <v>0.0509</v>
      </c>
    </row>
    <row r="9">
      <c r="A9" t="inlineStr">
        <is>
          <t>Aportes nominales + arancel +2% real</t>
        </is>
      </c>
      <c r="B9" s="5" t="n">
        <v>0.0548</v>
      </c>
    </row>
    <row r="10">
      <c r="A10" t="inlineStr">
        <is>
          <t>Lo anterior con 14 aportes</t>
        </is>
      </c>
      <c r="B10" s="5" t="n">
        <v>0.0574</v>
      </c>
    </row>
    <row r="11">
      <c r="A11" t="inlineStr">
        <is>
          <t>Palanca: herencia USD 250 mil</t>
        </is>
      </c>
      <c r="B11" s="5" t="n">
        <v>0.0417</v>
      </c>
    </row>
    <row r="12">
      <c r="A12" t="inlineStr">
        <is>
          <t>Palanca: Villarrica -25%</t>
        </is>
      </c>
      <c r="B12" s="5" t="n">
        <v>0.0401</v>
      </c>
    </row>
    <row r="13">
      <c r="A13" t="inlineStr">
        <is>
          <t>Palanca: ambas</t>
        </is>
      </c>
      <c r="B13" s="5" t="n">
        <v>0.0338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Figura 1 (versión B). TIR real requerida por escenario</t>
        </is>
      </c>
    </row>
    <row r="2">
      <c r="A2" s="3" t="inlineStr">
        <is>
          <t>Fuente: codigo/objetivos.py (TIR de los flujos de cada escenario); modelo, hoja 02_Objetivos_TIR (fórmula IRR). Barra naranja: versión B (codigo/version_b.py).</t>
        </is>
      </c>
    </row>
    <row r="4">
      <c r="A4" s="4" t="inlineStr">
        <is>
          <t>Escenario</t>
        </is>
      </c>
      <c r="B4" s="4" t="inlineStr">
        <is>
          <t>TIR real requerida</t>
        </is>
      </c>
    </row>
    <row r="5">
      <c r="A5" t="inlineStr">
        <is>
          <t>Base: flujos del enunciado (19 aportes reales)</t>
        </is>
      </c>
      <c r="B5" s="5" t="n">
        <v>0.0465</v>
      </c>
    </row>
    <row r="6">
      <c r="A6" t="inlineStr">
        <is>
          <t>Versión B: casa de Villarrica en la herencia</t>
        </is>
      </c>
      <c r="B6" s="5" t="n">
        <v>0.0363</v>
      </c>
    </row>
    <row r="7">
      <c r="A7" t="inlineStr">
        <is>
          <t>14 aportes efectivos (riesgo de empleo)</t>
        </is>
      </c>
      <c r="B7" s="5" t="n">
        <v>0.0503</v>
      </c>
    </row>
    <row r="8">
      <c r="A8" t="inlineStr">
        <is>
          <t>Aportes en USD nominales (inflación 2,5%)</t>
        </is>
      </c>
      <c r="B8" s="5" t="n">
        <v>0.0504</v>
      </c>
    </row>
    <row r="9">
      <c r="A9" t="inlineStr">
        <is>
          <t>Arancel crece 2% real anual</t>
        </is>
      </c>
      <c r="B9" s="5" t="n">
        <v>0.0509</v>
      </c>
    </row>
    <row r="10">
      <c r="A10" t="inlineStr">
        <is>
          <t>Aportes nominales + arancel +2% real</t>
        </is>
      </c>
      <c r="B10" s="5" t="n">
        <v>0.0548</v>
      </c>
    </row>
    <row r="11">
      <c r="A11" t="inlineStr">
        <is>
          <t>Lo anterior con 14 aportes</t>
        </is>
      </c>
      <c r="B11" s="5" t="n">
        <v>0.0574</v>
      </c>
    </row>
    <row r="12">
      <c r="A12" t="inlineStr">
        <is>
          <t>Palanca: herencia USD 250 mil</t>
        </is>
      </c>
      <c r="B12" s="5" t="n">
        <v>0.0417</v>
      </c>
    </row>
    <row r="13">
      <c r="A13" t="inlineStr">
        <is>
          <t>Palanca: Villarrica -25%</t>
        </is>
      </c>
      <c r="B13" s="5" t="n">
        <v>0.0401</v>
      </c>
    </row>
    <row r="14">
      <c r="A14" t="inlineStr">
        <is>
          <t>Palanca: ambas</t>
        </is>
      </c>
      <c r="B14" s="5" t="n">
        <v>0.0338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Figura 2. Asignación estratégica: Black-Litterman frente a sus referencias</t>
        </is>
      </c>
    </row>
    <row r="2">
      <c r="A2" s="3" t="inlineStr">
        <is>
          <t>Fuente: codigo/portafolio.py; modelo, hojas 05 (Black-Litterman) y 06 (asignación).</t>
        </is>
      </c>
    </row>
    <row r="4">
      <c r="A4" s="4" t="inlineStr">
        <is>
          <t>Activo</t>
        </is>
      </c>
      <c r="B4" s="4" t="inlineStr">
        <is>
          <t>Black-Litterman (aprobado)</t>
        </is>
      </c>
      <c r="C4" s="4" t="inlineStr">
        <is>
          <t>Prior de paridad de riesgo</t>
        </is>
      </c>
      <c r="D4" s="4" t="inlineStr">
        <is>
          <t>Markowitz histórico</t>
        </is>
      </c>
    </row>
    <row r="5">
      <c r="A5" t="inlineStr">
        <is>
          <t>S&amp;P 500 (SPY)</t>
        </is>
      </c>
      <c r="B5" s="6" t="n">
        <v>0.3789</v>
      </c>
      <c r="C5" s="6" t="n">
        <v>0.1577</v>
      </c>
      <c r="D5" s="6" t="n">
        <v>0.4532</v>
      </c>
    </row>
    <row r="6">
      <c r="A6" t="inlineStr">
        <is>
          <t>Tesoro EE.UU. 10-20 años (TLH)</t>
        </is>
      </c>
      <c r="B6" s="6" t="n">
        <v>0.1687</v>
      </c>
      <c r="C6" s="6" t="n">
        <v>0.2295</v>
      </c>
      <c r="D6" s="6" t="n">
        <v>0.08</v>
      </c>
    </row>
    <row r="7">
      <c r="A7" t="inlineStr">
        <is>
          <t>Corporativos largo plazo (VCLT)</t>
        </is>
      </c>
      <c r="B7" s="6" t="n">
        <v>0.146</v>
      </c>
      <c r="C7" s="6" t="n">
        <v>0.1993</v>
      </c>
      <c r="D7" s="6" t="n">
        <v>0.08</v>
      </c>
    </row>
    <row r="8">
      <c r="A8" t="inlineStr">
        <is>
          <t>Momentum en commodities</t>
        </is>
      </c>
      <c r="B8" s="6" t="n">
        <v>0.0611</v>
      </c>
      <c r="C8" s="6" t="n">
        <v>0.1319</v>
      </c>
      <c r="D8" s="6" t="n">
        <v>0.1842</v>
      </c>
    </row>
    <row r="9">
      <c r="A9" t="inlineStr">
        <is>
          <t>Momentum en acciones</t>
        </is>
      </c>
      <c r="B9" s="6" t="n">
        <v>0.0706</v>
      </c>
      <c r="C9" s="6" t="n">
        <v>0.09429999999999999</v>
      </c>
      <c r="D9" s="6" t="n">
        <v>0.0231</v>
      </c>
    </row>
    <row r="10">
      <c r="A10" t="inlineStr">
        <is>
          <t>Low-Volatility</t>
        </is>
      </c>
      <c r="B10" s="6" t="n">
        <v>0.1746</v>
      </c>
      <c r="C10" s="6" t="n">
        <v>0.1873</v>
      </c>
      <c r="D10" s="6" t="n">
        <v>0.1796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Figura 3. Peso frente a contribución al riesgo total</t>
        </is>
      </c>
    </row>
    <row r="2">
      <c r="A2" s="3" t="inlineStr">
        <is>
          <t>Contribución = peso × covarianza con la cartera / varianza de la cartera (pesos aprobados, covarianza 2013-2026). Fuente: codigo/analisis_complementario.py; modelo, hoja 06.</t>
        </is>
      </c>
    </row>
    <row r="4">
      <c r="A4" s="4" t="inlineStr">
        <is>
          <t>Activo</t>
        </is>
      </c>
      <c r="B4" s="4" t="inlineStr">
        <is>
          <t>Peso en la cartera</t>
        </is>
      </c>
      <c r="C4" s="4" t="inlineStr">
        <is>
          <t>Contribución al riesgo</t>
        </is>
      </c>
    </row>
    <row r="5">
      <c r="A5" t="inlineStr">
        <is>
          <t>S&amp;P 500 (SPY)</t>
        </is>
      </c>
      <c r="B5" s="6" t="n">
        <v>0.3789</v>
      </c>
      <c r="C5" s="6" t="n">
        <v>0.4953</v>
      </c>
    </row>
    <row r="6">
      <c r="A6" t="inlineStr">
        <is>
          <t>Tesoro EE.UU. 10-20 años (TLH)</t>
        </is>
      </c>
      <c r="B6" s="6" t="n">
        <v>0.1687</v>
      </c>
      <c r="C6" s="6" t="n">
        <v>0.07389999999999999</v>
      </c>
    </row>
    <row r="7">
      <c r="A7" t="inlineStr">
        <is>
          <t>Corporativos largo plazo (VCLT)</t>
        </is>
      </c>
      <c r="B7" s="6" t="n">
        <v>0.146</v>
      </c>
      <c r="C7" s="6" t="n">
        <v>0.1231</v>
      </c>
    </row>
    <row r="8">
      <c r="A8" t="inlineStr">
        <is>
          <t>Momentum en commodities</t>
        </is>
      </c>
      <c r="B8" s="6" t="n">
        <v>0.0611</v>
      </c>
      <c r="C8" s="6" t="n">
        <v>0.0259</v>
      </c>
    </row>
    <row r="9">
      <c r="A9" t="inlineStr">
        <is>
          <t>Momentum en acciones</t>
        </is>
      </c>
      <c r="B9" s="6" t="n">
        <v>0.0706</v>
      </c>
      <c r="C9" s="6" t="n">
        <v>0.1191</v>
      </c>
    </row>
    <row r="10">
      <c r="A10" t="inlineStr">
        <is>
          <t>Low-Volatility</t>
        </is>
      </c>
      <c r="B10" s="6" t="n">
        <v>0.1746</v>
      </c>
      <c r="C10" s="6" t="n">
        <v>0.1627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Figura 4. Crecimiento de USD 100 (ene-2016 a ago-2026, USD nominal)</t>
        </is>
      </c>
    </row>
    <row r="2">
      <c r="A2" s="3" t="inlineStr">
        <is>
          <t>Fuente: codigo/portafolio.py (retornos mensuales de la cartera, el benchmark y la AGF); resultados/retornos_cartera_benchmark.csv.</t>
        </is>
      </c>
    </row>
    <row r="4">
      <c r="A4" s="4" t="inlineStr">
        <is>
          <t>Fecha</t>
        </is>
      </c>
      <c r="B4" s="4" t="inlineStr">
        <is>
          <t>Cartera Nexum</t>
        </is>
      </c>
      <c r="C4" s="4" t="inlineStr">
        <is>
          <t>Benchmark de política</t>
        </is>
      </c>
      <c r="D4" s="4" t="inlineStr">
        <is>
          <t>AGF actual 85/15</t>
        </is>
      </c>
      <c r="E4" s="4" t="inlineStr">
        <is>
          <t>S&amp;P 500</t>
        </is>
      </c>
    </row>
    <row r="5">
      <c r="A5" s="7" t="n">
        <v>42400</v>
      </c>
      <c r="B5" s="8" t="n">
        <v>98.26000000000001</v>
      </c>
      <c r="C5" s="8" t="n">
        <v>97.68000000000001</v>
      </c>
      <c r="D5" s="8" t="n">
        <v>95.91</v>
      </c>
      <c r="E5" s="8" t="n">
        <v>95.02</v>
      </c>
    </row>
    <row r="6">
      <c r="A6" s="7" t="n">
        <v>42429</v>
      </c>
      <c r="B6" s="8" t="n">
        <v>99.04000000000001</v>
      </c>
      <c r="C6" s="8" t="n">
        <v>98.19</v>
      </c>
      <c r="D6" s="8" t="n">
        <v>95.73999999999999</v>
      </c>
      <c r="E6" s="8" t="n">
        <v>94.94</v>
      </c>
    </row>
    <row r="7">
      <c r="A7" s="7" t="n">
        <v>42460</v>
      </c>
      <c r="B7" s="8" t="n">
        <v>103.92</v>
      </c>
      <c r="C7" s="8" t="n">
        <v>103.16</v>
      </c>
      <c r="D7" s="8" t="n">
        <v>101.31</v>
      </c>
      <c r="E7" s="8" t="n">
        <v>101.33</v>
      </c>
    </row>
    <row r="8">
      <c r="A8" s="7" t="n">
        <v>42490</v>
      </c>
      <c r="B8" s="8" t="n">
        <v>103.94</v>
      </c>
      <c r="C8" s="8" t="n">
        <v>104.12</v>
      </c>
      <c r="D8" s="8" t="n">
        <v>101.81</v>
      </c>
      <c r="E8" s="8" t="n">
        <v>101.73</v>
      </c>
    </row>
    <row r="9">
      <c r="A9" s="7" t="n">
        <v>42521</v>
      </c>
      <c r="B9" s="8" t="n">
        <v>104.97</v>
      </c>
      <c r="C9" s="8" t="n">
        <v>105.28</v>
      </c>
      <c r="D9" s="8" t="n">
        <v>103.19</v>
      </c>
      <c r="E9" s="8" t="n">
        <v>103.46</v>
      </c>
    </row>
    <row r="10">
      <c r="A10" s="7" t="n">
        <v>42551</v>
      </c>
      <c r="B10" s="8" t="n">
        <v>109.62</v>
      </c>
      <c r="C10" s="8" t="n">
        <v>108.2</v>
      </c>
      <c r="D10" s="8" t="n">
        <v>103.55</v>
      </c>
      <c r="E10" s="8" t="n">
        <v>103.82</v>
      </c>
    </row>
    <row r="11">
      <c r="A11" s="7" t="n">
        <v>42582</v>
      </c>
      <c r="B11" s="8" t="n">
        <v>112.09</v>
      </c>
      <c r="C11" s="8" t="n">
        <v>110.3</v>
      </c>
      <c r="D11" s="8" t="n">
        <v>106.89</v>
      </c>
      <c r="E11" s="8" t="n">
        <v>107.61</v>
      </c>
    </row>
    <row r="12">
      <c r="A12" s="7" t="n">
        <v>42613</v>
      </c>
      <c r="B12" s="8" t="n">
        <v>110.51</v>
      </c>
      <c r="C12" s="8" t="n">
        <v>109.55</v>
      </c>
      <c r="D12" s="8" t="n">
        <v>107.03</v>
      </c>
      <c r="E12" s="8" t="n">
        <v>107.73</v>
      </c>
    </row>
    <row r="13">
      <c r="A13" s="7" t="n">
        <v>42643</v>
      </c>
      <c r="B13" s="8" t="n">
        <v>110.63</v>
      </c>
      <c r="C13" s="8" t="n">
        <v>109.63</v>
      </c>
      <c r="D13" s="8" t="n">
        <v>107.16</v>
      </c>
      <c r="E13" s="8" t="n">
        <v>107.74</v>
      </c>
    </row>
    <row r="14">
      <c r="A14" s="7" t="n">
        <v>42674</v>
      </c>
      <c r="B14" s="8" t="n">
        <v>108.09</v>
      </c>
      <c r="C14" s="8" t="n">
        <v>107.37</v>
      </c>
      <c r="D14" s="8" t="n">
        <v>105.37</v>
      </c>
      <c r="E14" s="8" t="n">
        <v>105.87</v>
      </c>
    </row>
    <row r="15">
      <c r="A15" s="7" t="n">
        <v>42704</v>
      </c>
      <c r="B15" s="8" t="n">
        <v>108.29</v>
      </c>
      <c r="C15" s="8" t="n">
        <v>107.71</v>
      </c>
      <c r="D15" s="8" t="n">
        <v>107.88</v>
      </c>
      <c r="E15" s="8" t="n">
        <v>109.77</v>
      </c>
    </row>
    <row r="16">
      <c r="A16" s="7" t="n">
        <v>42735</v>
      </c>
      <c r="B16" s="8" t="n">
        <v>110.38</v>
      </c>
      <c r="C16" s="8" t="n">
        <v>109.38</v>
      </c>
      <c r="D16" s="8" t="n">
        <v>109.85</v>
      </c>
      <c r="E16" s="8" t="n">
        <v>112</v>
      </c>
    </row>
    <row r="17">
      <c r="A17" s="7" t="n">
        <v>42766</v>
      </c>
      <c r="B17" s="8" t="n">
        <v>112.03</v>
      </c>
      <c r="C17" s="8" t="n">
        <v>110.64</v>
      </c>
      <c r="D17" s="8" t="n">
        <v>111.6</v>
      </c>
      <c r="E17" s="8" t="n">
        <v>114</v>
      </c>
    </row>
    <row r="18">
      <c r="A18" s="7" t="n">
        <v>42794</v>
      </c>
      <c r="B18" s="8" t="n">
        <v>115.03</v>
      </c>
      <c r="C18" s="8" t="n">
        <v>113.77</v>
      </c>
      <c r="D18" s="8" t="n">
        <v>115.2</v>
      </c>
      <c r="E18" s="8" t="n">
        <v>118.48</v>
      </c>
    </row>
    <row r="19">
      <c r="A19" s="7" t="n">
        <v>42825</v>
      </c>
      <c r="B19" s="8" t="n">
        <v>114.74</v>
      </c>
      <c r="C19" s="8" t="n">
        <v>113.34</v>
      </c>
      <c r="D19" s="8" t="n">
        <v>115.62</v>
      </c>
      <c r="E19" s="8" t="n">
        <v>118.63</v>
      </c>
    </row>
    <row r="20">
      <c r="A20" s="7" t="n">
        <v>42855</v>
      </c>
      <c r="B20" s="8" t="n">
        <v>115.75</v>
      </c>
      <c r="C20" s="8" t="n">
        <v>114.27</v>
      </c>
      <c r="D20" s="8" t="n">
        <v>116.86</v>
      </c>
      <c r="E20" s="8" t="n">
        <v>119.81</v>
      </c>
    </row>
    <row r="21">
      <c r="A21" s="7" t="n">
        <v>42886</v>
      </c>
      <c r="B21" s="8" t="n">
        <v>117.42</v>
      </c>
      <c r="C21" s="8" t="n">
        <v>115.69</v>
      </c>
      <c r="D21" s="8" t="n">
        <v>118.59</v>
      </c>
      <c r="E21" s="8" t="n">
        <v>121.5</v>
      </c>
    </row>
    <row r="22">
      <c r="A22" s="7" t="n">
        <v>42916</v>
      </c>
      <c r="B22" s="8" t="n">
        <v>117.94</v>
      </c>
      <c r="C22" s="8" t="n">
        <v>116.02</v>
      </c>
      <c r="D22" s="8" t="n">
        <v>119.15</v>
      </c>
      <c r="E22" s="8" t="n">
        <v>122.27</v>
      </c>
    </row>
    <row r="23">
      <c r="A23" s="7" t="n">
        <v>42947</v>
      </c>
      <c r="B23" s="8" t="n">
        <v>119.68</v>
      </c>
      <c r="C23" s="8" t="n">
        <v>117.97</v>
      </c>
      <c r="D23" s="8" t="n">
        <v>121.34</v>
      </c>
      <c r="E23" s="8" t="n">
        <v>124.79</v>
      </c>
    </row>
    <row r="24">
      <c r="A24" s="7" t="n">
        <v>42978</v>
      </c>
      <c r="B24" s="8" t="n">
        <v>120.76</v>
      </c>
      <c r="C24" s="8" t="n">
        <v>118.86</v>
      </c>
      <c r="D24" s="8" t="n">
        <v>121.78</v>
      </c>
      <c r="E24" s="8" t="n">
        <v>125.15</v>
      </c>
    </row>
    <row r="25">
      <c r="A25" s="7" t="n">
        <v>43008</v>
      </c>
      <c r="B25" s="8" t="n">
        <v>121.73</v>
      </c>
      <c r="C25" s="8" t="n">
        <v>119.96</v>
      </c>
      <c r="D25" s="8" t="n">
        <v>123.81</v>
      </c>
      <c r="E25" s="8" t="n">
        <v>127.67</v>
      </c>
    </row>
    <row r="26">
      <c r="A26" s="7" t="n">
        <v>43039</v>
      </c>
      <c r="B26" s="8" t="n">
        <v>124.56</v>
      </c>
      <c r="C26" s="8" t="n">
        <v>122</v>
      </c>
      <c r="D26" s="8" t="n">
        <v>126.28</v>
      </c>
      <c r="E26" s="8" t="n">
        <v>130.68</v>
      </c>
    </row>
    <row r="27">
      <c r="A27" s="7" t="n">
        <v>43069</v>
      </c>
      <c r="B27" s="8" t="n">
        <v>126.54</v>
      </c>
      <c r="C27" s="8" t="n">
        <v>124.51</v>
      </c>
      <c r="D27" s="8" t="n">
        <v>129.32</v>
      </c>
      <c r="E27" s="8" t="n">
        <v>134.67</v>
      </c>
    </row>
    <row r="28">
      <c r="A28" s="7" t="n">
        <v>43100</v>
      </c>
      <c r="B28" s="8" t="n">
        <v>128.03</v>
      </c>
      <c r="C28" s="8" t="n">
        <v>125.46</v>
      </c>
      <c r="D28" s="8" t="n">
        <v>130.74</v>
      </c>
      <c r="E28" s="8" t="n">
        <v>136.31</v>
      </c>
    </row>
    <row r="29">
      <c r="A29" s="7" t="n">
        <v>43131</v>
      </c>
      <c r="B29" s="8" t="n">
        <v>131.28</v>
      </c>
      <c r="C29" s="8" t="n">
        <v>128.75</v>
      </c>
      <c r="D29" s="8" t="n">
        <v>136.77</v>
      </c>
      <c r="E29" s="8" t="n">
        <v>143.99</v>
      </c>
    </row>
    <row r="30">
      <c r="A30" s="7" t="n">
        <v>43159</v>
      </c>
      <c r="B30" s="8" t="n">
        <v>126.53</v>
      </c>
      <c r="C30" s="8" t="n">
        <v>124.57</v>
      </c>
      <c r="D30" s="8" t="n">
        <v>132.32</v>
      </c>
      <c r="E30" s="8" t="n">
        <v>138.75</v>
      </c>
    </row>
    <row r="31">
      <c r="A31" s="7" t="n">
        <v>43190</v>
      </c>
      <c r="B31" s="8" t="n">
        <v>125.84</v>
      </c>
      <c r="C31" s="8" t="n">
        <v>123.96</v>
      </c>
      <c r="D31" s="8" t="n">
        <v>129.64</v>
      </c>
      <c r="E31" s="8" t="n">
        <v>134.95</v>
      </c>
    </row>
    <row r="32">
      <c r="A32" s="7" t="n">
        <v>43220</v>
      </c>
      <c r="B32" s="8" t="n">
        <v>125.34</v>
      </c>
      <c r="C32" s="8" t="n">
        <v>123.29</v>
      </c>
      <c r="D32" s="8" t="n">
        <v>130.21</v>
      </c>
      <c r="E32" s="8" t="n">
        <v>135.65</v>
      </c>
    </row>
    <row r="33">
      <c r="A33" s="7" t="n">
        <v>43251</v>
      </c>
      <c r="B33" s="8" t="n">
        <v>127.56</v>
      </c>
      <c r="C33" s="8" t="n">
        <v>125.66</v>
      </c>
      <c r="D33" s="8" t="n">
        <v>132.46</v>
      </c>
      <c r="E33" s="8" t="n">
        <v>138.95</v>
      </c>
    </row>
    <row r="34">
      <c r="A34" s="7" t="n">
        <v>43281</v>
      </c>
      <c r="B34" s="8" t="n">
        <v>129.22</v>
      </c>
      <c r="C34" s="8" t="n">
        <v>125.6</v>
      </c>
      <c r="D34" s="8" t="n">
        <v>132.94</v>
      </c>
      <c r="E34" s="8" t="n">
        <v>139.74</v>
      </c>
    </row>
    <row r="35">
      <c r="A35" s="7" t="n">
        <v>43312</v>
      </c>
      <c r="B35" s="8" t="n">
        <v>132.16</v>
      </c>
      <c r="C35" s="8" t="n">
        <v>128.25</v>
      </c>
      <c r="D35" s="8" t="n">
        <v>137.04</v>
      </c>
      <c r="E35" s="8" t="n">
        <v>144.92</v>
      </c>
    </row>
    <row r="36">
      <c r="A36" s="7" t="n">
        <v>43343</v>
      </c>
      <c r="B36" s="8" t="n">
        <v>135.1</v>
      </c>
      <c r="C36" s="8" t="n">
        <v>131.08</v>
      </c>
      <c r="D36" s="8" t="n">
        <v>140.19</v>
      </c>
      <c r="E36" s="8" t="n">
        <v>149.55</v>
      </c>
    </row>
    <row r="37">
      <c r="A37" s="7" t="n">
        <v>43373</v>
      </c>
      <c r="B37" s="8" t="n">
        <v>134.84</v>
      </c>
      <c r="C37" s="8" t="n">
        <v>131.03</v>
      </c>
      <c r="D37" s="8" t="n">
        <v>140.85</v>
      </c>
      <c r="E37" s="8" t="n">
        <v>150.44</v>
      </c>
    </row>
    <row r="38">
      <c r="A38" s="7" t="n">
        <v>43404</v>
      </c>
      <c r="B38" s="8" t="n">
        <v>127.3</v>
      </c>
      <c r="C38" s="8" t="n">
        <v>124.3</v>
      </c>
      <c r="D38" s="8" t="n">
        <v>132.37</v>
      </c>
      <c r="E38" s="8" t="n">
        <v>140.04</v>
      </c>
    </row>
    <row r="39">
      <c r="A39" s="7" t="n">
        <v>43434</v>
      </c>
      <c r="B39" s="8" t="n">
        <v>130.11</v>
      </c>
      <c r="C39" s="8" t="n">
        <v>126.03</v>
      </c>
      <c r="D39" s="8" t="n">
        <v>134.44</v>
      </c>
      <c r="E39" s="8" t="n">
        <v>142.64</v>
      </c>
    </row>
    <row r="40">
      <c r="A40" s="7" t="n">
        <v>43465</v>
      </c>
      <c r="B40" s="8" t="n">
        <v>124.87</v>
      </c>
      <c r="C40" s="8" t="n">
        <v>120.4</v>
      </c>
      <c r="D40" s="8" t="n">
        <v>125.09</v>
      </c>
      <c r="E40" s="8" t="n">
        <v>130.08</v>
      </c>
    </row>
    <row r="41">
      <c r="A41" s="7" t="n">
        <v>43496</v>
      </c>
      <c r="B41" s="8" t="n">
        <v>130.82</v>
      </c>
      <c r="C41" s="8" t="n">
        <v>127.7</v>
      </c>
      <c r="D41" s="8" t="n">
        <v>133.63</v>
      </c>
      <c r="E41" s="8" t="n">
        <v>140.49</v>
      </c>
    </row>
    <row r="42">
      <c r="A42" s="7" t="n">
        <v>43524</v>
      </c>
      <c r="B42" s="8" t="n">
        <v>133.48</v>
      </c>
      <c r="C42" s="8" t="n">
        <v>130.32</v>
      </c>
      <c r="D42" s="8" t="n">
        <v>137.24</v>
      </c>
      <c r="E42" s="8" t="n">
        <v>145.05</v>
      </c>
    </row>
    <row r="43">
      <c r="A43" s="7" t="n">
        <v>43555</v>
      </c>
      <c r="B43" s="8" t="n">
        <v>137.34</v>
      </c>
      <c r="C43" s="8" t="n">
        <v>133.49</v>
      </c>
      <c r="D43" s="8" t="n">
        <v>139.65</v>
      </c>
      <c r="E43" s="8" t="n">
        <v>147.67</v>
      </c>
    </row>
    <row r="44">
      <c r="A44" s="7" t="n">
        <v>43585</v>
      </c>
      <c r="B44" s="8" t="n">
        <v>139.58</v>
      </c>
      <c r="C44" s="8" t="n">
        <v>136.14</v>
      </c>
      <c r="D44" s="8" t="n">
        <v>144.36</v>
      </c>
      <c r="E44" s="8" t="n">
        <v>153.71</v>
      </c>
    </row>
    <row r="45">
      <c r="A45" s="7" t="n">
        <v>43616</v>
      </c>
      <c r="B45" s="8" t="n">
        <v>137.27</v>
      </c>
      <c r="C45" s="8" t="n">
        <v>133.54</v>
      </c>
      <c r="D45" s="8" t="n">
        <v>137.04</v>
      </c>
      <c r="E45" s="8" t="n">
        <v>143.91</v>
      </c>
    </row>
    <row r="46">
      <c r="A46" s="7" t="n">
        <v>43646</v>
      </c>
      <c r="B46" s="8" t="n">
        <v>143.66</v>
      </c>
      <c r="C46" s="8" t="n">
        <v>139.83</v>
      </c>
      <c r="D46" s="8" t="n">
        <v>145.3</v>
      </c>
      <c r="E46" s="8" t="n">
        <v>153.92</v>
      </c>
    </row>
    <row r="47">
      <c r="A47" s="7" t="n">
        <v>43677</v>
      </c>
      <c r="B47" s="8" t="n">
        <v>145.58</v>
      </c>
      <c r="C47" s="8" t="n">
        <v>141.61</v>
      </c>
      <c r="D47" s="8" t="n">
        <v>146.9</v>
      </c>
      <c r="E47" s="8" t="n">
        <v>156.25</v>
      </c>
    </row>
    <row r="48">
      <c r="A48" s="7" t="n">
        <v>43708</v>
      </c>
      <c r="B48" s="8" t="n">
        <v>148.52</v>
      </c>
      <c r="C48" s="8" t="n">
        <v>143.75</v>
      </c>
      <c r="D48" s="8" t="n">
        <v>145.32</v>
      </c>
      <c r="E48" s="8" t="n">
        <v>153.63</v>
      </c>
    </row>
    <row r="49">
      <c r="A49" s="7" t="n">
        <v>43738</v>
      </c>
      <c r="B49" s="8" t="n">
        <v>148.66</v>
      </c>
      <c r="C49" s="8" t="n">
        <v>143.99</v>
      </c>
      <c r="D49" s="8" t="n">
        <v>147.76</v>
      </c>
      <c r="E49" s="8" t="n">
        <v>156.62</v>
      </c>
    </row>
    <row r="50">
      <c r="A50" s="7" t="n">
        <v>43769</v>
      </c>
      <c r="B50" s="8" t="n">
        <v>148.9</v>
      </c>
      <c r="C50" s="8" t="n">
        <v>145.36</v>
      </c>
      <c r="D50" s="8" t="n">
        <v>150.65</v>
      </c>
      <c r="E50" s="8" t="n">
        <v>160.08</v>
      </c>
    </row>
    <row r="51">
      <c r="A51" s="7" t="n">
        <v>43799</v>
      </c>
      <c r="B51" s="8" t="n">
        <v>150.37</v>
      </c>
      <c r="C51" s="8" t="n">
        <v>147.93</v>
      </c>
      <c r="D51" s="8" t="n">
        <v>154.91</v>
      </c>
      <c r="E51" s="8" t="n">
        <v>165.88</v>
      </c>
    </row>
    <row r="52">
      <c r="A52" s="7" t="n">
        <v>43830</v>
      </c>
      <c r="B52" s="8" t="n">
        <v>152.33</v>
      </c>
      <c r="C52" s="8" t="n">
        <v>149.93</v>
      </c>
      <c r="D52" s="8" t="n">
        <v>158.71</v>
      </c>
      <c r="E52" s="8" t="n">
        <v>170.7</v>
      </c>
    </row>
    <row r="53">
      <c r="A53" s="7" t="n">
        <v>43861</v>
      </c>
      <c r="B53" s="8" t="n">
        <v>155.84</v>
      </c>
      <c r="C53" s="8" t="n">
        <v>152.83</v>
      </c>
      <c r="D53" s="8" t="n">
        <v>158.74</v>
      </c>
      <c r="E53" s="8" t="n">
        <v>170.63</v>
      </c>
    </row>
    <row r="54">
      <c r="A54" s="7" t="n">
        <v>43890</v>
      </c>
      <c r="B54" s="8" t="n">
        <v>149.87</v>
      </c>
      <c r="C54" s="8" t="n">
        <v>146.03</v>
      </c>
      <c r="D54" s="8" t="n">
        <v>148.35</v>
      </c>
      <c r="E54" s="8" t="n">
        <v>157.12</v>
      </c>
    </row>
    <row r="55">
      <c r="A55" s="7" t="n">
        <v>43921</v>
      </c>
      <c r="B55" s="8" t="n">
        <v>137.59</v>
      </c>
      <c r="C55" s="8" t="n">
        <v>131.97</v>
      </c>
      <c r="D55" s="8" t="n">
        <v>132.02</v>
      </c>
      <c r="E55" s="8" t="n">
        <v>137.5</v>
      </c>
    </row>
    <row r="56">
      <c r="A56" s="7" t="n">
        <v>43951</v>
      </c>
      <c r="B56" s="8" t="n">
        <v>148.34</v>
      </c>
      <c r="C56" s="8" t="n">
        <v>142.61</v>
      </c>
      <c r="D56" s="8" t="n">
        <v>145.85</v>
      </c>
      <c r="E56" s="8" t="n">
        <v>154.96</v>
      </c>
    </row>
    <row r="57">
      <c r="A57" s="7" t="n">
        <v>43982</v>
      </c>
      <c r="B57" s="8" t="n">
        <v>152.5</v>
      </c>
      <c r="C57" s="8" t="n">
        <v>147.29</v>
      </c>
      <c r="D57" s="8" t="n">
        <v>151.96</v>
      </c>
      <c r="E57" s="8" t="n">
        <v>162.34</v>
      </c>
    </row>
    <row r="58">
      <c r="A58" s="7" t="n">
        <v>44012</v>
      </c>
      <c r="B58" s="8" t="n">
        <v>154.24</v>
      </c>
      <c r="C58" s="8" t="n">
        <v>149.34</v>
      </c>
      <c r="D58" s="8" t="n">
        <v>154.61</v>
      </c>
      <c r="E58" s="8" t="n">
        <v>165.22</v>
      </c>
    </row>
    <row r="59">
      <c r="A59" s="7" t="n">
        <v>44043</v>
      </c>
      <c r="B59" s="8" t="n">
        <v>164.01</v>
      </c>
      <c r="C59" s="8" t="n">
        <v>158.59</v>
      </c>
      <c r="D59" s="8" t="n">
        <v>162.1</v>
      </c>
      <c r="E59" s="8" t="n">
        <v>174.95</v>
      </c>
    </row>
    <row r="60">
      <c r="A60" s="7" t="n">
        <v>44074</v>
      </c>
      <c r="B60" s="8" t="n">
        <v>167.8</v>
      </c>
      <c r="C60" s="8" t="n">
        <v>162.91</v>
      </c>
      <c r="D60" s="8" t="n">
        <v>171.21</v>
      </c>
      <c r="E60" s="8" t="n">
        <v>187.16</v>
      </c>
    </row>
    <row r="61">
      <c r="A61" s="7" t="n">
        <v>44104</v>
      </c>
      <c r="B61" s="8" t="n">
        <v>163.41</v>
      </c>
      <c r="C61" s="8" t="n">
        <v>159.86</v>
      </c>
      <c r="D61" s="8" t="n">
        <v>166.11</v>
      </c>
      <c r="E61" s="8" t="n">
        <v>180.15</v>
      </c>
    </row>
    <row r="62">
      <c r="A62" s="7" t="n">
        <v>44135</v>
      </c>
      <c r="B62" s="8" t="n">
        <v>160.08</v>
      </c>
      <c r="C62" s="8" t="n">
        <v>156.3</v>
      </c>
      <c r="D62" s="8" t="n">
        <v>162.41</v>
      </c>
      <c r="E62" s="8" t="n">
        <v>175.66</v>
      </c>
    </row>
    <row r="63">
      <c r="A63" s="7" t="n">
        <v>44165</v>
      </c>
      <c r="B63" s="8" t="n">
        <v>171.78</v>
      </c>
      <c r="C63" s="8" t="n">
        <v>168.52</v>
      </c>
      <c r="D63" s="8" t="n">
        <v>178.09</v>
      </c>
      <c r="E63" s="8" t="n">
        <v>194.77</v>
      </c>
    </row>
    <row r="64">
      <c r="A64" s="7" t="n">
        <v>44196</v>
      </c>
      <c r="B64" s="8" t="n">
        <v>174.82</v>
      </c>
      <c r="C64" s="8" t="n">
        <v>172.95</v>
      </c>
      <c r="D64" s="8" t="n">
        <v>183.95</v>
      </c>
      <c r="E64" s="8" t="n">
        <v>201.99</v>
      </c>
    </row>
    <row r="65">
      <c r="A65" s="7" t="n">
        <v>44227</v>
      </c>
      <c r="B65" s="8" t="n">
        <v>171.64</v>
      </c>
      <c r="C65" s="8" t="n">
        <v>171.73</v>
      </c>
      <c r="D65" s="8" t="n">
        <v>182.21</v>
      </c>
      <c r="E65" s="8" t="n">
        <v>199.93</v>
      </c>
    </row>
    <row r="66">
      <c r="A66" s="7" t="n">
        <v>44255</v>
      </c>
      <c r="B66" s="8" t="n">
        <v>172.31</v>
      </c>
      <c r="C66" s="8" t="n">
        <v>171.4</v>
      </c>
      <c r="D66" s="8" t="n">
        <v>186</v>
      </c>
      <c r="E66" s="8" t="n">
        <v>205.49</v>
      </c>
    </row>
    <row r="67">
      <c r="A67" s="7" t="n">
        <v>44286</v>
      </c>
      <c r="B67" s="8" t="n">
        <v>175.03</v>
      </c>
      <c r="C67" s="8" t="n">
        <v>173.45</v>
      </c>
      <c r="D67" s="8" t="n">
        <v>192.69</v>
      </c>
      <c r="E67" s="8" t="n">
        <v>214.82</v>
      </c>
    </row>
    <row r="68">
      <c r="A68" s="7" t="n">
        <v>44316</v>
      </c>
      <c r="B68" s="8" t="n">
        <v>181.44</v>
      </c>
      <c r="C68" s="8" t="n">
        <v>180.45</v>
      </c>
      <c r="D68" s="8" t="n">
        <v>201.05</v>
      </c>
      <c r="E68" s="8" t="n">
        <v>226.18</v>
      </c>
    </row>
    <row r="69">
      <c r="A69" s="7" t="n">
        <v>44347</v>
      </c>
      <c r="B69" s="8" t="n">
        <v>184.13</v>
      </c>
      <c r="C69" s="8" t="n">
        <v>181.03</v>
      </c>
      <c r="D69" s="8" t="n">
        <v>202.69</v>
      </c>
      <c r="E69" s="8" t="n">
        <v>227.67</v>
      </c>
    </row>
    <row r="70">
      <c r="A70" s="7" t="n">
        <v>44377</v>
      </c>
      <c r="B70" s="8" t="n">
        <v>186.86</v>
      </c>
      <c r="C70" s="8" t="n">
        <v>185.05</v>
      </c>
      <c r="D70" s="8" t="n">
        <v>206.16</v>
      </c>
      <c r="E70" s="8" t="n">
        <v>232.77</v>
      </c>
    </row>
    <row r="71">
      <c r="A71" s="7" t="n">
        <v>44408</v>
      </c>
      <c r="B71" s="8" t="n">
        <v>191.16</v>
      </c>
      <c r="C71" s="8" t="n">
        <v>189.19</v>
      </c>
      <c r="D71" s="8" t="n">
        <v>210.55</v>
      </c>
      <c r="E71" s="8" t="n">
        <v>238.46</v>
      </c>
    </row>
    <row r="72">
      <c r="A72" s="7" t="n">
        <v>44439</v>
      </c>
      <c r="B72" s="8" t="n">
        <v>193.51</v>
      </c>
      <c r="C72" s="8" t="n">
        <v>192.17</v>
      </c>
      <c r="D72" s="8" t="n">
        <v>215.51</v>
      </c>
      <c r="E72" s="8" t="n">
        <v>245.55</v>
      </c>
    </row>
    <row r="73">
      <c r="A73" s="7" t="n">
        <v>44469</v>
      </c>
      <c r="B73" s="8" t="n">
        <v>188.5</v>
      </c>
      <c r="C73" s="8" t="n">
        <v>185.92</v>
      </c>
      <c r="D73" s="8" t="n">
        <v>206.9</v>
      </c>
      <c r="E73" s="8" t="n">
        <v>234.11</v>
      </c>
    </row>
    <row r="74">
      <c r="A74" s="7" t="n">
        <v>44500</v>
      </c>
      <c r="B74" s="8" t="n">
        <v>197.33</v>
      </c>
      <c r="C74" s="8" t="n">
        <v>194.29</v>
      </c>
      <c r="D74" s="8" t="n">
        <v>218.5</v>
      </c>
      <c r="E74" s="8" t="n">
        <v>250.53</v>
      </c>
    </row>
    <row r="75">
      <c r="A75" s="7" t="n">
        <v>44530</v>
      </c>
      <c r="B75" s="8" t="n">
        <v>194.25</v>
      </c>
      <c r="C75" s="8" t="n">
        <v>192.61</v>
      </c>
      <c r="D75" s="8" t="n">
        <v>216.53</v>
      </c>
      <c r="E75" s="8" t="n">
        <v>248.52</v>
      </c>
    </row>
    <row r="76">
      <c r="A76" s="7" t="n">
        <v>44561</v>
      </c>
      <c r="B76" s="8" t="n">
        <v>201.02</v>
      </c>
      <c r="C76" s="8" t="n">
        <v>198.88</v>
      </c>
      <c r="D76" s="8" t="n">
        <v>224.82</v>
      </c>
      <c r="E76" s="8" t="n">
        <v>260.02</v>
      </c>
    </row>
    <row r="77">
      <c r="A77" s="7" t="n">
        <v>44592</v>
      </c>
      <c r="B77" s="8" t="n">
        <v>192.81</v>
      </c>
      <c r="C77" s="8" t="n">
        <v>191.09</v>
      </c>
      <c r="D77" s="8" t="n">
        <v>214.48</v>
      </c>
      <c r="E77" s="8" t="n">
        <v>246.3</v>
      </c>
    </row>
    <row r="78">
      <c r="A78" s="7" t="n">
        <v>44620</v>
      </c>
      <c r="B78" s="8" t="n">
        <v>188.72</v>
      </c>
      <c r="C78" s="8" t="n">
        <v>188</v>
      </c>
      <c r="D78" s="8" t="n">
        <v>208.63</v>
      </c>
      <c r="E78" s="8" t="n">
        <v>239.03</v>
      </c>
    </row>
    <row r="79">
      <c r="A79" s="7" t="n">
        <v>44651</v>
      </c>
      <c r="B79" s="8" t="n">
        <v>192.1</v>
      </c>
      <c r="C79" s="8" t="n">
        <v>191.5</v>
      </c>
      <c r="D79" s="8" t="n">
        <v>213.93</v>
      </c>
      <c r="E79" s="8" t="n">
        <v>248.02</v>
      </c>
    </row>
    <row r="80">
      <c r="A80" s="7" t="n">
        <v>44681</v>
      </c>
      <c r="B80" s="8" t="n">
        <v>179.7</v>
      </c>
      <c r="C80" s="8" t="n">
        <v>178.77</v>
      </c>
      <c r="D80" s="8" t="n">
        <v>197.25</v>
      </c>
      <c r="E80" s="8" t="n">
        <v>226.25</v>
      </c>
    </row>
    <row r="81">
      <c r="A81" s="7" t="n">
        <v>44712</v>
      </c>
      <c r="B81" s="8" t="n">
        <v>181.13</v>
      </c>
      <c r="C81" s="8" t="n">
        <v>179.55</v>
      </c>
      <c r="D81" s="8" t="n">
        <v>197.94</v>
      </c>
      <c r="E81" s="8" t="n">
        <v>226.76</v>
      </c>
    </row>
    <row r="82">
      <c r="A82" s="7" t="n">
        <v>44742</v>
      </c>
      <c r="B82" s="8" t="n">
        <v>170.77</v>
      </c>
      <c r="C82" s="8" t="n">
        <v>168.15</v>
      </c>
      <c r="D82" s="8" t="n">
        <v>183.49</v>
      </c>
      <c r="E82" s="8" t="n">
        <v>208.06</v>
      </c>
    </row>
    <row r="83">
      <c r="A83" s="7" t="n">
        <v>44773</v>
      </c>
      <c r="B83" s="8" t="n">
        <v>180.23</v>
      </c>
      <c r="C83" s="8" t="n">
        <v>178.98</v>
      </c>
      <c r="D83" s="8" t="n">
        <v>198.02</v>
      </c>
      <c r="E83" s="8" t="n">
        <v>227.22</v>
      </c>
    </row>
    <row r="84">
      <c r="A84" s="7" t="n">
        <v>44804</v>
      </c>
      <c r="B84" s="8" t="n">
        <v>172.97</v>
      </c>
      <c r="C84" s="8" t="n">
        <v>173.18</v>
      </c>
      <c r="D84" s="8" t="n">
        <v>189.82</v>
      </c>
      <c r="E84" s="8" t="n">
        <v>217.95</v>
      </c>
    </row>
    <row r="85">
      <c r="A85" s="7" t="n">
        <v>44834</v>
      </c>
      <c r="B85" s="8" t="n">
        <v>159.86</v>
      </c>
      <c r="C85" s="8" t="n">
        <v>158.46</v>
      </c>
      <c r="D85" s="8" t="n">
        <v>173.9</v>
      </c>
      <c r="E85" s="8" t="n">
        <v>197.8</v>
      </c>
    </row>
    <row r="86">
      <c r="A86" s="7" t="n">
        <v>44865</v>
      </c>
      <c r="B86" s="8" t="n">
        <v>166.91</v>
      </c>
      <c r="C86" s="8" t="n">
        <v>165.64</v>
      </c>
      <c r="D86" s="8" t="n">
        <v>185.49</v>
      </c>
      <c r="E86" s="8" t="n">
        <v>213.88</v>
      </c>
    </row>
    <row r="87">
      <c r="A87" s="7" t="n">
        <v>44895</v>
      </c>
      <c r="B87" s="8" t="n">
        <v>176.29</v>
      </c>
      <c r="C87" s="8" t="n">
        <v>175.3</v>
      </c>
      <c r="D87" s="8" t="n">
        <v>196.32</v>
      </c>
      <c r="E87" s="8" t="n">
        <v>225.77</v>
      </c>
    </row>
    <row r="88">
      <c r="A88" s="7" t="n">
        <v>44926</v>
      </c>
      <c r="B88" s="8" t="n">
        <v>170.28</v>
      </c>
      <c r="C88" s="8" t="n">
        <v>168.47</v>
      </c>
      <c r="D88" s="8" t="n">
        <v>186.83</v>
      </c>
      <c r="E88" s="8" t="n">
        <v>212.76</v>
      </c>
    </row>
    <row r="89">
      <c r="A89" s="7" t="n">
        <v>44957</v>
      </c>
      <c r="B89" s="8" t="n">
        <v>177.94</v>
      </c>
      <c r="C89" s="8" t="n">
        <v>176.24</v>
      </c>
      <c r="D89" s="8" t="n">
        <v>198.05</v>
      </c>
      <c r="E89" s="8" t="n">
        <v>226.14</v>
      </c>
    </row>
    <row r="90">
      <c r="A90" s="7" t="n">
        <v>44985</v>
      </c>
      <c r="B90" s="8" t="n">
        <v>172.26</v>
      </c>
      <c r="C90" s="8" t="n">
        <v>169.8</v>
      </c>
      <c r="D90" s="8" t="n">
        <v>193.1</v>
      </c>
      <c r="E90" s="8" t="n">
        <v>220.45</v>
      </c>
    </row>
    <row r="91">
      <c r="A91" s="7" t="n">
        <v>45016</v>
      </c>
      <c r="B91" s="8" t="n">
        <v>178.5</v>
      </c>
      <c r="C91" s="8" t="n">
        <v>175.11</v>
      </c>
      <c r="D91" s="8" t="n">
        <v>199.85</v>
      </c>
      <c r="E91" s="8" t="n">
        <v>228.62</v>
      </c>
    </row>
    <row r="92">
      <c r="A92" s="7" t="n">
        <v>45046</v>
      </c>
      <c r="B92" s="8" t="n">
        <v>180.82</v>
      </c>
      <c r="C92" s="8" t="n">
        <v>176.81</v>
      </c>
      <c r="D92" s="8" t="n">
        <v>202.91</v>
      </c>
      <c r="E92" s="8" t="n">
        <v>232.28</v>
      </c>
    </row>
    <row r="93">
      <c r="A93" s="7" t="n">
        <v>45077</v>
      </c>
      <c r="B93" s="8" t="n">
        <v>177.38</v>
      </c>
      <c r="C93" s="8" t="n">
        <v>173.13</v>
      </c>
      <c r="D93" s="8" t="n">
        <v>202.78</v>
      </c>
      <c r="E93" s="8" t="n">
        <v>233.35</v>
      </c>
    </row>
    <row r="94">
      <c r="A94" s="7" t="n">
        <v>45107</v>
      </c>
      <c r="B94" s="8" t="n">
        <v>184.39</v>
      </c>
      <c r="C94" s="8" t="n">
        <v>180.43</v>
      </c>
      <c r="D94" s="8" t="n">
        <v>213.55</v>
      </c>
      <c r="E94" s="8" t="n">
        <v>248.47</v>
      </c>
    </row>
    <row r="95">
      <c r="A95" s="7" t="n">
        <v>45138</v>
      </c>
      <c r="B95" s="8" t="n">
        <v>186.21</v>
      </c>
      <c r="C95" s="8" t="n">
        <v>183.25</v>
      </c>
      <c r="D95" s="8" t="n">
        <v>219.36</v>
      </c>
      <c r="E95" s="8" t="n">
        <v>256.6</v>
      </c>
    </row>
    <row r="96">
      <c r="A96" s="7" t="n">
        <v>45169</v>
      </c>
      <c r="B96" s="8" t="n">
        <v>182.31</v>
      </c>
      <c r="C96" s="8" t="n">
        <v>179.45</v>
      </c>
      <c r="D96" s="8" t="n">
        <v>215.83</v>
      </c>
      <c r="E96" s="8" t="n">
        <v>252.43</v>
      </c>
    </row>
    <row r="97">
      <c r="A97" s="7" t="n">
        <v>45199</v>
      </c>
      <c r="B97" s="8" t="n">
        <v>173.48</v>
      </c>
      <c r="C97" s="8" t="n">
        <v>170.86</v>
      </c>
      <c r="D97" s="8" t="n">
        <v>206.63</v>
      </c>
      <c r="E97" s="8" t="n">
        <v>240.46</v>
      </c>
    </row>
    <row r="98">
      <c r="A98" s="7" t="n">
        <v>45230</v>
      </c>
      <c r="B98" s="8" t="n">
        <v>169.51</v>
      </c>
      <c r="C98" s="8" t="n">
        <v>166.6</v>
      </c>
      <c r="D98" s="8" t="n">
        <v>202.42</v>
      </c>
      <c r="E98" s="8" t="n">
        <v>235.24</v>
      </c>
    </row>
    <row r="99">
      <c r="A99" s="7" t="n">
        <v>45260</v>
      </c>
      <c r="B99" s="8" t="n">
        <v>181.79</v>
      </c>
      <c r="C99" s="8" t="n">
        <v>180.24</v>
      </c>
      <c r="D99" s="8" t="n">
        <v>219.2</v>
      </c>
      <c r="E99" s="8" t="n">
        <v>256.73</v>
      </c>
    </row>
    <row r="100">
      <c r="A100" s="7" t="n">
        <v>45291</v>
      </c>
      <c r="B100" s="8" t="n">
        <v>189.56</v>
      </c>
      <c r="C100" s="8" t="n">
        <v>188.81</v>
      </c>
      <c r="D100" s="8" t="n">
        <v>228.99</v>
      </c>
      <c r="E100" s="8" t="n">
        <v>268.45</v>
      </c>
    </row>
    <row r="101">
      <c r="A101" s="7" t="n">
        <v>45322</v>
      </c>
      <c r="B101" s="8" t="n">
        <v>192.18</v>
      </c>
      <c r="C101" s="8" t="n">
        <v>190.13</v>
      </c>
      <c r="D101" s="8" t="n">
        <v>231.56</v>
      </c>
      <c r="E101" s="8" t="n">
        <v>272.72</v>
      </c>
    </row>
    <row r="102">
      <c r="A102" s="7" t="n">
        <v>45351</v>
      </c>
      <c r="B102" s="8" t="n">
        <v>196.54</v>
      </c>
      <c r="C102" s="8" t="n">
        <v>194.14</v>
      </c>
      <c r="D102" s="8" t="n">
        <v>241.05</v>
      </c>
      <c r="E102" s="8" t="n">
        <v>286.96</v>
      </c>
    </row>
    <row r="103">
      <c r="A103" s="7" t="n">
        <v>45382</v>
      </c>
      <c r="B103" s="8" t="n">
        <v>201.21</v>
      </c>
      <c r="C103" s="8" t="n">
        <v>199.52</v>
      </c>
      <c r="D103" s="8" t="n">
        <v>248.13</v>
      </c>
      <c r="E103" s="8" t="n">
        <v>296.34</v>
      </c>
    </row>
    <row r="104">
      <c r="A104" s="7" t="n">
        <v>45412</v>
      </c>
      <c r="B104" s="8" t="n">
        <v>192.99</v>
      </c>
      <c r="C104" s="8" t="n">
        <v>191.77</v>
      </c>
      <c r="D104" s="8" t="n">
        <v>239.07</v>
      </c>
      <c r="E104" s="8" t="n">
        <v>284.39</v>
      </c>
    </row>
    <row r="105">
      <c r="A105" s="7" t="n">
        <v>45443</v>
      </c>
      <c r="B105" s="8" t="n">
        <v>200.3</v>
      </c>
      <c r="C105" s="8" t="n">
        <v>199.05</v>
      </c>
      <c r="D105" s="8" t="n">
        <v>249.7</v>
      </c>
      <c r="E105" s="8" t="n">
        <v>298.78</v>
      </c>
    </row>
    <row r="106">
      <c r="A106" s="7" t="n">
        <v>45473</v>
      </c>
      <c r="B106" s="8" t="n">
        <v>203.3</v>
      </c>
      <c r="C106" s="8" t="n">
        <v>201.78</v>
      </c>
      <c r="D106" s="8" t="n">
        <v>256.34</v>
      </c>
      <c r="E106" s="8" t="n">
        <v>309.32</v>
      </c>
    </row>
    <row r="107">
      <c r="A107" s="7" t="n">
        <v>45504</v>
      </c>
      <c r="B107" s="8" t="n">
        <v>206.77</v>
      </c>
      <c r="C107" s="8" t="n">
        <v>206.31</v>
      </c>
      <c r="D107" s="8" t="n">
        <v>260.15</v>
      </c>
      <c r="E107" s="8" t="n">
        <v>313.06</v>
      </c>
    </row>
    <row r="108">
      <c r="A108" s="7" t="n">
        <v>45535</v>
      </c>
      <c r="B108" s="8" t="n">
        <v>213.26</v>
      </c>
      <c r="C108" s="8" t="n">
        <v>211.67</v>
      </c>
      <c r="D108" s="8" t="n">
        <v>265.91</v>
      </c>
      <c r="E108" s="8" t="n">
        <v>320.38</v>
      </c>
    </row>
    <row r="109">
      <c r="A109" s="7" t="n">
        <v>45565</v>
      </c>
      <c r="B109" s="8" t="n">
        <v>218.58</v>
      </c>
      <c r="C109" s="8" t="n">
        <v>216.61</v>
      </c>
      <c r="D109" s="8" t="n">
        <v>270.87</v>
      </c>
      <c r="E109" s="8" t="n">
        <v>327.11</v>
      </c>
    </row>
    <row r="110">
      <c r="A110" s="7" t="n">
        <v>45596</v>
      </c>
      <c r="B110" s="8" t="n">
        <v>214.75</v>
      </c>
      <c r="C110" s="8" t="n">
        <v>212.04</v>
      </c>
      <c r="D110" s="8" t="n">
        <v>267.15</v>
      </c>
      <c r="E110" s="8" t="n">
        <v>324.19</v>
      </c>
    </row>
    <row r="111">
      <c r="A111" s="7" t="n">
        <v>45626</v>
      </c>
      <c r="B111" s="8" t="n">
        <v>225.02</v>
      </c>
      <c r="C111" s="8" t="n">
        <v>222.14</v>
      </c>
      <c r="D111" s="8" t="n">
        <v>279.82</v>
      </c>
      <c r="E111" s="8" t="n">
        <v>343.52</v>
      </c>
    </row>
    <row r="112">
      <c r="A112" s="7" t="n">
        <v>45657</v>
      </c>
      <c r="B112" s="8" t="n">
        <v>215.72</v>
      </c>
      <c r="C112" s="8" t="n">
        <v>213.21</v>
      </c>
      <c r="D112" s="8" t="n">
        <v>273.46</v>
      </c>
      <c r="E112" s="8" t="n">
        <v>335.25</v>
      </c>
    </row>
    <row r="113">
      <c r="A113" s="7" t="n">
        <v>45688</v>
      </c>
      <c r="B113" s="8" t="n">
        <v>222.17</v>
      </c>
      <c r="C113" s="8" t="n">
        <v>218.04</v>
      </c>
      <c r="D113" s="8" t="n">
        <v>280.35</v>
      </c>
      <c r="E113" s="8" t="n">
        <v>344.26</v>
      </c>
    </row>
    <row r="114">
      <c r="A114" s="7" t="n">
        <v>45716</v>
      </c>
      <c r="B114" s="8" t="n">
        <v>225.09</v>
      </c>
      <c r="C114" s="8" t="n">
        <v>220.41</v>
      </c>
      <c r="D114" s="8" t="n">
        <v>278.98</v>
      </c>
      <c r="E114" s="8" t="n">
        <v>339.89</v>
      </c>
    </row>
    <row r="115">
      <c r="A115" s="7" t="n">
        <v>45747</v>
      </c>
      <c r="B115" s="8" t="n">
        <v>218.51</v>
      </c>
      <c r="C115" s="8" t="n">
        <v>215.08</v>
      </c>
      <c r="D115" s="8" t="n">
        <v>266.88</v>
      </c>
      <c r="E115" s="8" t="n">
        <v>320.95</v>
      </c>
    </row>
    <row r="116">
      <c r="A116" s="7" t="n">
        <v>45777</v>
      </c>
      <c r="B116" s="8" t="n">
        <v>217.98</v>
      </c>
      <c r="C116" s="8" t="n">
        <v>211.88</v>
      </c>
      <c r="D116" s="8" t="n">
        <v>266.38</v>
      </c>
      <c r="E116" s="8" t="n">
        <v>318.17</v>
      </c>
    </row>
    <row r="117">
      <c r="A117" s="7" t="n">
        <v>45808</v>
      </c>
      <c r="B117" s="8" t="n">
        <v>223.57</v>
      </c>
      <c r="C117" s="8" t="n">
        <v>217.01</v>
      </c>
      <c r="D117" s="8" t="n">
        <v>280.15</v>
      </c>
      <c r="E117" s="8" t="n">
        <v>338.16</v>
      </c>
    </row>
    <row r="118">
      <c r="A118" s="7" t="n">
        <v>45838</v>
      </c>
      <c r="B118" s="8" t="n">
        <v>230.84</v>
      </c>
      <c r="C118" s="8" t="n">
        <v>223.93</v>
      </c>
      <c r="D118" s="8" t="n">
        <v>292.11</v>
      </c>
      <c r="E118" s="8" t="n">
        <v>355.54</v>
      </c>
    </row>
    <row r="119">
      <c r="A119" s="7" t="n">
        <v>45869</v>
      </c>
      <c r="B119" s="8" t="n">
        <v>232.45</v>
      </c>
      <c r="C119" s="8" t="n">
        <v>225.07</v>
      </c>
      <c r="D119" s="8" t="n">
        <v>296.66</v>
      </c>
      <c r="E119" s="8" t="n">
        <v>363.73</v>
      </c>
    </row>
    <row r="120">
      <c r="A120" s="7" t="n">
        <v>45900</v>
      </c>
      <c r="B120" s="8" t="n">
        <v>235.85</v>
      </c>
      <c r="C120" s="8" t="n">
        <v>228.06</v>
      </c>
      <c r="D120" s="8" t="n">
        <v>302.75</v>
      </c>
      <c r="E120" s="8" t="n">
        <v>371.19</v>
      </c>
    </row>
    <row r="121">
      <c r="A121" s="7" t="n">
        <v>45930</v>
      </c>
      <c r="B121" s="8" t="n">
        <v>245.08</v>
      </c>
      <c r="C121" s="8" t="n">
        <v>233.98</v>
      </c>
      <c r="D121" s="8" t="n">
        <v>311.91</v>
      </c>
      <c r="E121" s="8" t="n">
        <v>384.41</v>
      </c>
    </row>
    <row r="122">
      <c r="A122" s="7" t="n">
        <v>45961</v>
      </c>
      <c r="B122" s="8" t="n">
        <v>246.61</v>
      </c>
      <c r="C122" s="8" t="n">
        <v>236.26</v>
      </c>
      <c r="D122" s="8" t="n">
        <v>318.29</v>
      </c>
      <c r="E122" s="8" t="n">
        <v>393.58</v>
      </c>
    </row>
    <row r="123">
      <c r="A123" s="7" t="n">
        <v>45991</v>
      </c>
      <c r="B123" s="8" t="n">
        <v>249.87</v>
      </c>
      <c r="C123" s="8" t="n">
        <v>238.57</v>
      </c>
      <c r="D123" s="8" t="n">
        <v>319.07</v>
      </c>
      <c r="E123" s="8" t="n">
        <v>394.34</v>
      </c>
    </row>
    <row r="124">
      <c r="A124" s="7" t="n">
        <v>46022</v>
      </c>
      <c r="B124" s="8" t="n">
        <v>250.24</v>
      </c>
      <c r="C124" s="8" t="n">
        <v>236.51</v>
      </c>
      <c r="D124" s="8" t="n">
        <v>319.81</v>
      </c>
      <c r="E124" s="8" t="n">
        <v>394.66</v>
      </c>
    </row>
    <row r="125">
      <c r="A125" s="7" t="n">
        <v>46053</v>
      </c>
      <c r="B125" s="8" t="n">
        <v>257.35</v>
      </c>
      <c r="C125" s="8" t="n">
        <v>241.86</v>
      </c>
      <c r="D125" s="8" t="n">
        <v>324.93</v>
      </c>
      <c r="E125" s="8" t="n">
        <v>400.47</v>
      </c>
    </row>
    <row r="126">
      <c r="A126" s="7" t="n">
        <v>46081</v>
      </c>
      <c r="B126" s="8" t="n">
        <v>265.18</v>
      </c>
      <c r="C126" s="8" t="n">
        <v>246.88</v>
      </c>
      <c r="D126" s="8" t="n">
        <v>324.81</v>
      </c>
      <c r="E126" s="8" t="n">
        <v>397.01</v>
      </c>
    </row>
    <row r="127">
      <c r="A127" s="7" t="n">
        <v>46112</v>
      </c>
      <c r="B127" s="8" t="n">
        <v>251.85</v>
      </c>
      <c r="C127" s="8" t="n">
        <v>238.12</v>
      </c>
      <c r="D127" s="8" t="n">
        <v>309.43</v>
      </c>
      <c r="E127" s="8" t="n">
        <v>377.41</v>
      </c>
    </row>
    <row r="128">
      <c r="A128" s="7" t="n">
        <v>46142</v>
      </c>
      <c r="B128" s="8" t="n">
        <v>266.03</v>
      </c>
      <c r="C128" s="8" t="n">
        <v>251.13</v>
      </c>
      <c r="D128" s="8" t="n">
        <v>335.79</v>
      </c>
      <c r="E128" s="8" t="n">
        <v>417.06</v>
      </c>
    </row>
    <row r="129">
      <c r="A129" s="7" t="n">
        <v>46173</v>
      </c>
      <c r="B129" s="8" t="n">
        <v>270.09</v>
      </c>
      <c r="C129" s="8" t="n">
        <v>255.86</v>
      </c>
      <c r="D129" s="8" t="n">
        <v>350.28</v>
      </c>
      <c r="E129" s="8" t="n">
        <v>439</v>
      </c>
    </row>
    <row r="130">
      <c r="A130" s="7" t="n">
        <v>46203</v>
      </c>
      <c r="B130" s="8" t="n">
        <v>269.75</v>
      </c>
      <c r="C130" s="8" t="n">
        <v>255.17</v>
      </c>
      <c r="D130" s="8" t="n">
        <v>347.91</v>
      </c>
      <c r="E130" s="8" t="n">
        <v>434.49</v>
      </c>
    </row>
    <row r="131">
      <c r="A131" s="7" t="n">
        <v>46234</v>
      </c>
      <c r="B131" s="8" t="n">
        <v>263.81</v>
      </c>
      <c r="C131" s="8" t="n">
        <v>253.32</v>
      </c>
      <c r="D131" s="8" t="n">
        <v>347.85</v>
      </c>
      <c r="E131" s="8" t="n">
        <v>434.64</v>
      </c>
    </row>
    <row r="132">
      <c r="A132" s="7" t="n">
        <v>46265</v>
      </c>
      <c r="B132" s="8" t="n">
        <v>273.78</v>
      </c>
      <c r="C132" s="8" t="n">
        <v>257.37</v>
      </c>
      <c r="D132" s="8" t="n">
        <v>356.38</v>
      </c>
      <c r="E132" s="8" t="n">
        <v>447.62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Figura 5. Caídas desde el máximo: Nexum frente a la AGF</t>
        </is>
      </c>
    </row>
    <row r="2">
      <c r="A2" s="3" t="inlineStr">
        <is>
          <t>Caída = valor / máximo anterior − 1, sobre el crecimiento de USD 100 de la Figura 4.</t>
        </is>
      </c>
    </row>
    <row r="4">
      <c r="A4" s="4" t="inlineStr">
        <is>
          <t>Fecha</t>
        </is>
      </c>
      <c r="B4" s="4" t="inlineStr">
        <is>
          <t>Cartera Nexum</t>
        </is>
      </c>
      <c r="C4" s="4" t="inlineStr">
        <is>
          <t>AGF actual 85/15</t>
        </is>
      </c>
    </row>
    <row r="5">
      <c r="A5" s="7" t="n">
        <v>42400</v>
      </c>
      <c r="B5" s="6" t="n">
        <v>0</v>
      </c>
      <c r="C5" s="6" t="n">
        <v>0</v>
      </c>
    </row>
    <row r="6">
      <c r="A6" s="7" t="n">
        <v>42429</v>
      </c>
      <c r="B6" s="6" t="n">
        <v>0</v>
      </c>
      <c r="C6" s="6" t="n">
        <v>-0.0019</v>
      </c>
    </row>
    <row r="7">
      <c r="A7" s="7" t="n">
        <v>42460</v>
      </c>
      <c r="B7" s="6" t="n">
        <v>0</v>
      </c>
      <c r="C7" s="6" t="n">
        <v>0</v>
      </c>
    </row>
    <row r="8">
      <c r="A8" s="7" t="n">
        <v>42490</v>
      </c>
      <c r="B8" s="6" t="n">
        <v>0</v>
      </c>
      <c r="C8" s="6" t="n">
        <v>0</v>
      </c>
    </row>
    <row r="9">
      <c r="A9" s="7" t="n">
        <v>42521</v>
      </c>
      <c r="B9" s="6" t="n">
        <v>0</v>
      </c>
      <c r="C9" s="6" t="n">
        <v>0</v>
      </c>
    </row>
    <row r="10">
      <c r="A10" s="7" t="n">
        <v>42551</v>
      </c>
      <c r="B10" s="6" t="n">
        <v>0</v>
      </c>
      <c r="C10" s="6" t="n">
        <v>0</v>
      </c>
    </row>
    <row r="11">
      <c r="A11" s="7" t="n">
        <v>42582</v>
      </c>
      <c r="B11" s="6" t="n">
        <v>0</v>
      </c>
      <c r="C11" s="6" t="n">
        <v>0</v>
      </c>
    </row>
    <row r="12">
      <c r="A12" s="7" t="n">
        <v>42613</v>
      </c>
      <c r="B12" s="6" t="n">
        <v>-0.0141</v>
      </c>
      <c r="C12" s="6" t="n">
        <v>0</v>
      </c>
    </row>
    <row r="13">
      <c r="A13" s="7" t="n">
        <v>42643</v>
      </c>
      <c r="B13" s="6" t="n">
        <v>-0.013</v>
      </c>
      <c r="C13" s="6" t="n">
        <v>0</v>
      </c>
    </row>
    <row r="14">
      <c r="A14" s="7" t="n">
        <v>42674</v>
      </c>
      <c r="B14" s="6" t="n">
        <v>-0.0357</v>
      </c>
      <c r="C14" s="6" t="n">
        <v>-0.0167</v>
      </c>
    </row>
    <row r="15">
      <c r="A15" s="7" t="n">
        <v>42704</v>
      </c>
      <c r="B15" s="6" t="n">
        <v>-0.0339</v>
      </c>
      <c r="C15" s="6" t="n">
        <v>0</v>
      </c>
    </row>
    <row r="16">
      <c r="A16" s="7" t="n">
        <v>42735</v>
      </c>
      <c r="B16" s="6" t="n">
        <v>-0.0152</v>
      </c>
      <c r="C16" s="6" t="n">
        <v>0</v>
      </c>
    </row>
    <row r="17">
      <c r="A17" s="7" t="n">
        <v>42766</v>
      </c>
      <c r="B17" s="6" t="n">
        <v>-0.0005</v>
      </c>
      <c r="C17" s="6" t="n">
        <v>0</v>
      </c>
    </row>
    <row r="18">
      <c r="A18" s="7" t="n">
        <v>42794</v>
      </c>
      <c r="B18" s="6" t="n">
        <v>0</v>
      </c>
      <c r="C18" s="6" t="n">
        <v>0</v>
      </c>
    </row>
    <row r="19">
      <c r="A19" s="7" t="n">
        <v>42825</v>
      </c>
      <c r="B19" s="6" t="n">
        <v>-0.0025</v>
      </c>
      <c r="C19" s="6" t="n">
        <v>0</v>
      </c>
    </row>
    <row r="20">
      <c r="A20" s="7" t="n">
        <v>42855</v>
      </c>
      <c r="B20" s="6" t="n">
        <v>0</v>
      </c>
      <c r="C20" s="6" t="n">
        <v>0</v>
      </c>
    </row>
    <row r="21">
      <c r="A21" s="7" t="n">
        <v>42886</v>
      </c>
      <c r="B21" s="6" t="n">
        <v>0</v>
      </c>
      <c r="C21" s="6" t="n">
        <v>0</v>
      </c>
    </row>
    <row r="22">
      <c r="A22" s="7" t="n">
        <v>42916</v>
      </c>
      <c r="B22" s="6" t="n">
        <v>0</v>
      </c>
      <c r="C22" s="6" t="n">
        <v>0</v>
      </c>
    </row>
    <row r="23">
      <c r="A23" s="7" t="n">
        <v>42947</v>
      </c>
      <c r="B23" s="6" t="n">
        <v>0</v>
      </c>
      <c r="C23" s="6" t="n">
        <v>0</v>
      </c>
    </row>
    <row r="24">
      <c r="A24" s="7" t="n">
        <v>42978</v>
      </c>
      <c r="B24" s="6" t="n">
        <v>0</v>
      </c>
      <c r="C24" s="6" t="n">
        <v>0</v>
      </c>
    </row>
    <row r="25">
      <c r="A25" s="7" t="n">
        <v>43008</v>
      </c>
      <c r="B25" s="6" t="n">
        <v>0</v>
      </c>
      <c r="C25" s="6" t="n">
        <v>0</v>
      </c>
    </row>
    <row r="26">
      <c r="A26" s="7" t="n">
        <v>43039</v>
      </c>
      <c r="B26" s="6" t="n">
        <v>0</v>
      </c>
      <c r="C26" s="6" t="n">
        <v>0</v>
      </c>
    </row>
    <row r="27">
      <c r="A27" s="7" t="n">
        <v>43069</v>
      </c>
      <c r="B27" s="6" t="n">
        <v>0</v>
      </c>
      <c r="C27" s="6" t="n">
        <v>0</v>
      </c>
    </row>
    <row r="28">
      <c r="A28" s="7" t="n">
        <v>43100</v>
      </c>
      <c r="B28" s="6" t="n">
        <v>0</v>
      </c>
      <c r="C28" s="6" t="n">
        <v>0</v>
      </c>
    </row>
    <row r="29">
      <c r="A29" s="7" t="n">
        <v>43131</v>
      </c>
      <c r="B29" s="6" t="n">
        <v>0</v>
      </c>
      <c r="C29" s="6" t="n">
        <v>0</v>
      </c>
    </row>
    <row r="30">
      <c r="A30" s="7" t="n">
        <v>43159</v>
      </c>
      <c r="B30" s="6" t="n">
        <v>-0.0362</v>
      </c>
      <c r="C30" s="6" t="n">
        <v>-0.0325</v>
      </c>
    </row>
    <row r="31">
      <c r="A31" s="7" t="n">
        <v>43190</v>
      </c>
      <c r="B31" s="6" t="n">
        <v>-0.0414</v>
      </c>
      <c r="C31" s="6" t="n">
        <v>-0.0521</v>
      </c>
    </row>
    <row r="32">
      <c r="A32" s="7" t="n">
        <v>43220</v>
      </c>
      <c r="B32" s="6" t="n">
        <v>-0.0453</v>
      </c>
      <c r="C32" s="6" t="n">
        <v>-0.0479</v>
      </c>
    </row>
    <row r="33">
      <c r="A33" s="7" t="n">
        <v>43251</v>
      </c>
      <c r="B33" s="6" t="n">
        <v>-0.0284</v>
      </c>
      <c r="C33" s="6" t="n">
        <v>-0.0315</v>
      </c>
    </row>
    <row r="34">
      <c r="A34" s="7" t="n">
        <v>43281</v>
      </c>
      <c r="B34" s="6" t="n">
        <v>-0.0157</v>
      </c>
      <c r="C34" s="6" t="n">
        <v>-0.028</v>
      </c>
    </row>
    <row r="35">
      <c r="A35" s="7" t="n">
        <v>43312</v>
      </c>
      <c r="B35" s="6" t="n">
        <v>0</v>
      </c>
      <c r="C35" s="6" t="n">
        <v>0</v>
      </c>
    </row>
    <row r="36">
      <c r="A36" s="7" t="n">
        <v>43343</v>
      </c>
      <c r="B36" s="6" t="n">
        <v>0</v>
      </c>
      <c r="C36" s="6" t="n">
        <v>0</v>
      </c>
    </row>
    <row r="37">
      <c r="A37" s="7" t="n">
        <v>43373</v>
      </c>
      <c r="B37" s="6" t="n">
        <v>-0.0019</v>
      </c>
      <c r="C37" s="6" t="n">
        <v>0</v>
      </c>
    </row>
    <row r="38">
      <c r="A38" s="7" t="n">
        <v>43404</v>
      </c>
      <c r="B38" s="6" t="n">
        <v>-0.0578</v>
      </c>
      <c r="C38" s="6" t="n">
        <v>-0.0602</v>
      </c>
    </row>
    <row r="39">
      <c r="A39" s="7" t="n">
        <v>43434</v>
      </c>
      <c r="B39" s="6" t="n">
        <v>-0.0369</v>
      </c>
      <c r="C39" s="6" t="n">
        <v>-0.0456</v>
      </c>
    </row>
    <row r="40">
      <c r="A40" s="7" t="n">
        <v>43465</v>
      </c>
      <c r="B40" s="6" t="n">
        <v>-0.07580000000000001</v>
      </c>
      <c r="C40" s="6" t="n">
        <v>-0.1119</v>
      </c>
    </row>
    <row r="41">
      <c r="A41" s="7" t="n">
        <v>43496</v>
      </c>
      <c r="B41" s="6" t="n">
        <v>-0.0317</v>
      </c>
      <c r="C41" s="6" t="n">
        <v>-0.0513</v>
      </c>
    </row>
    <row r="42">
      <c r="A42" s="7" t="n">
        <v>43524</v>
      </c>
      <c r="B42" s="6" t="n">
        <v>-0.012</v>
      </c>
      <c r="C42" s="6" t="n">
        <v>-0.0256</v>
      </c>
    </row>
    <row r="43">
      <c r="A43" s="7" t="n">
        <v>43555</v>
      </c>
      <c r="B43" s="6" t="n">
        <v>0</v>
      </c>
      <c r="C43" s="6" t="n">
        <v>-0.008500000000000001</v>
      </c>
    </row>
    <row r="44">
      <c r="A44" s="7" t="n">
        <v>43585</v>
      </c>
      <c r="B44" s="6" t="n">
        <v>0</v>
      </c>
      <c r="C44" s="6" t="n">
        <v>0</v>
      </c>
    </row>
    <row r="45">
      <c r="A45" s="7" t="n">
        <v>43616</v>
      </c>
      <c r="B45" s="6" t="n">
        <v>-0.0165</v>
      </c>
      <c r="C45" s="6" t="n">
        <v>-0.0507</v>
      </c>
    </row>
    <row r="46">
      <c r="A46" s="7" t="n">
        <v>43646</v>
      </c>
      <c r="B46" s="6" t="n">
        <v>0</v>
      </c>
      <c r="C46" s="6" t="n">
        <v>0</v>
      </c>
    </row>
    <row r="47">
      <c r="A47" s="7" t="n">
        <v>43677</v>
      </c>
      <c r="B47" s="6" t="n">
        <v>0</v>
      </c>
      <c r="C47" s="6" t="n">
        <v>0</v>
      </c>
    </row>
    <row r="48">
      <c r="A48" s="7" t="n">
        <v>43708</v>
      </c>
      <c r="B48" s="6" t="n">
        <v>0</v>
      </c>
      <c r="C48" s="6" t="n">
        <v>-0.0108</v>
      </c>
    </row>
    <row r="49">
      <c r="A49" s="7" t="n">
        <v>43738</v>
      </c>
      <c r="B49" s="6" t="n">
        <v>0</v>
      </c>
      <c r="C49" s="6" t="n">
        <v>0</v>
      </c>
    </row>
    <row r="50">
      <c r="A50" s="7" t="n">
        <v>43769</v>
      </c>
      <c r="B50" s="6" t="n">
        <v>0</v>
      </c>
      <c r="C50" s="6" t="n">
        <v>0</v>
      </c>
    </row>
    <row r="51">
      <c r="A51" s="7" t="n">
        <v>43799</v>
      </c>
      <c r="B51" s="6" t="n">
        <v>0</v>
      </c>
      <c r="C51" s="6" t="n">
        <v>0</v>
      </c>
    </row>
    <row r="52">
      <c r="A52" s="7" t="n">
        <v>43830</v>
      </c>
      <c r="B52" s="6" t="n">
        <v>0</v>
      </c>
      <c r="C52" s="6" t="n">
        <v>0</v>
      </c>
    </row>
    <row r="53">
      <c r="A53" s="7" t="n">
        <v>43861</v>
      </c>
      <c r="B53" s="6" t="n">
        <v>0</v>
      </c>
      <c r="C53" s="6" t="n">
        <v>0</v>
      </c>
    </row>
    <row r="54">
      <c r="A54" s="7" t="n">
        <v>43890</v>
      </c>
      <c r="B54" s="6" t="n">
        <v>-0.0383</v>
      </c>
      <c r="C54" s="6" t="n">
        <v>-0.0655</v>
      </c>
    </row>
    <row r="55">
      <c r="A55" s="7" t="n">
        <v>43921</v>
      </c>
      <c r="B55" s="6" t="n">
        <v>-0.1172</v>
      </c>
      <c r="C55" s="6" t="n">
        <v>-0.1684</v>
      </c>
    </row>
    <row r="56">
      <c r="A56" s="7" t="n">
        <v>43951</v>
      </c>
      <c r="B56" s="6" t="n">
        <v>-0.0481</v>
      </c>
      <c r="C56" s="6" t="n">
        <v>-0.08119999999999999</v>
      </c>
    </row>
    <row r="57">
      <c r="A57" s="7" t="n">
        <v>43982</v>
      </c>
      <c r="B57" s="6" t="n">
        <v>-0.0214</v>
      </c>
      <c r="C57" s="6" t="n">
        <v>-0.0427</v>
      </c>
    </row>
    <row r="58">
      <c r="A58" s="7" t="n">
        <v>44012</v>
      </c>
      <c r="B58" s="6" t="n">
        <v>-0.0103</v>
      </c>
      <c r="C58" s="6" t="n">
        <v>-0.026</v>
      </c>
    </row>
    <row r="59">
      <c r="A59" s="7" t="n">
        <v>44043</v>
      </c>
      <c r="B59" s="6" t="n">
        <v>0</v>
      </c>
      <c r="C59" s="6" t="n">
        <v>0</v>
      </c>
    </row>
    <row r="60">
      <c r="A60" s="7" t="n">
        <v>44074</v>
      </c>
      <c r="B60" s="6" t="n">
        <v>0</v>
      </c>
      <c r="C60" s="6" t="n">
        <v>0</v>
      </c>
    </row>
    <row r="61">
      <c r="A61" s="7" t="n">
        <v>44104</v>
      </c>
      <c r="B61" s="6" t="n">
        <v>-0.0261</v>
      </c>
      <c r="C61" s="6" t="n">
        <v>-0.0298</v>
      </c>
    </row>
    <row r="62">
      <c r="A62" s="7" t="n">
        <v>44135</v>
      </c>
      <c r="B62" s="6" t="n">
        <v>-0.046</v>
      </c>
      <c r="C62" s="6" t="n">
        <v>-0.0514</v>
      </c>
    </row>
    <row r="63">
      <c r="A63" s="7" t="n">
        <v>44165</v>
      </c>
      <c r="B63" s="6" t="n">
        <v>0</v>
      </c>
      <c r="C63" s="6" t="n">
        <v>0</v>
      </c>
    </row>
    <row r="64">
      <c r="A64" s="7" t="n">
        <v>44196</v>
      </c>
      <c r="B64" s="6" t="n">
        <v>0</v>
      </c>
      <c r="C64" s="6" t="n">
        <v>0</v>
      </c>
    </row>
    <row r="65">
      <c r="A65" s="7" t="n">
        <v>44227</v>
      </c>
      <c r="B65" s="6" t="n">
        <v>-0.0182</v>
      </c>
      <c r="C65" s="6" t="n">
        <v>-0.0095</v>
      </c>
    </row>
    <row r="66">
      <c r="A66" s="7" t="n">
        <v>44255</v>
      </c>
      <c r="B66" s="6" t="n">
        <v>-0.0144</v>
      </c>
      <c r="C66" s="6" t="n">
        <v>0</v>
      </c>
    </row>
    <row r="67">
      <c r="A67" s="7" t="n">
        <v>44286</v>
      </c>
      <c r="B67" s="6" t="n">
        <v>0</v>
      </c>
      <c r="C67" s="6" t="n">
        <v>0</v>
      </c>
    </row>
    <row r="68">
      <c r="A68" s="7" t="n">
        <v>44316</v>
      </c>
      <c r="B68" s="6" t="n">
        <v>0</v>
      </c>
      <c r="C68" s="6" t="n">
        <v>0</v>
      </c>
    </row>
    <row r="69">
      <c r="A69" s="7" t="n">
        <v>44347</v>
      </c>
      <c r="B69" s="6" t="n">
        <v>0</v>
      </c>
      <c r="C69" s="6" t="n">
        <v>0</v>
      </c>
    </row>
    <row r="70">
      <c r="A70" s="7" t="n">
        <v>44377</v>
      </c>
      <c r="B70" s="6" t="n">
        <v>0</v>
      </c>
      <c r="C70" s="6" t="n">
        <v>0</v>
      </c>
    </row>
    <row r="71">
      <c r="A71" s="7" t="n">
        <v>44408</v>
      </c>
      <c r="B71" s="6" t="n">
        <v>0</v>
      </c>
      <c r="C71" s="6" t="n">
        <v>0</v>
      </c>
    </row>
    <row r="72">
      <c r="A72" s="7" t="n">
        <v>44439</v>
      </c>
      <c r="B72" s="6" t="n">
        <v>0</v>
      </c>
      <c r="C72" s="6" t="n">
        <v>0</v>
      </c>
    </row>
    <row r="73">
      <c r="A73" s="7" t="n">
        <v>44469</v>
      </c>
      <c r="B73" s="6" t="n">
        <v>-0.0259</v>
      </c>
      <c r="C73" s="6" t="n">
        <v>-0.0399</v>
      </c>
    </row>
    <row r="74">
      <c r="A74" s="7" t="n">
        <v>44500</v>
      </c>
      <c r="B74" s="6" t="n">
        <v>0</v>
      </c>
      <c r="C74" s="6" t="n">
        <v>0</v>
      </c>
    </row>
    <row r="75">
      <c r="A75" s="7" t="n">
        <v>44530</v>
      </c>
      <c r="B75" s="6" t="n">
        <v>-0.0156</v>
      </c>
      <c r="C75" s="6" t="n">
        <v>-0.008999999999999999</v>
      </c>
    </row>
    <row r="76">
      <c r="A76" s="7" t="n">
        <v>44561</v>
      </c>
      <c r="B76" s="6" t="n">
        <v>0</v>
      </c>
      <c r="C76" s="6" t="n">
        <v>0</v>
      </c>
    </row>
    <row r="77">
      <c r="A77" s="7" t="n">
        <v>44592</v>
      </c>
      <c r="B77" s="6" t="n">
        <v>-0.0409</v>
      </c>
      <c r="C77" s="6" t="n">
        <v>-0.046</v>
      </c>
    </row>
    <row r="78">
      <c r="A78" s="7" t="n">
        <v>44620</v>
      </c>
      <c r="B78" s="6" t="n">
        <v>-0.0612</v>
      </c>
      <c r="C78" s="6" t="n">
        <v>-0.07199999999999999</v>
      </c>
    </row>
    <row r="79">
      <c r="A79" s="7" t="n">
        <v>44651</v>
      </c>
      <c r="B79" s="6" t="n">
        <v>-0.0444</v>
      </c>
      <c r="C79" s="6" t="n">
        <v>-0.0484</v>
      </c>
    </row>
    <row r="80">
      <c r="A80" s="7" t="n">
        <v>44681</v>
      </c>
      <c r="B80" s="6" t="n">
        <v>-0.1061</v>
      </c>
      <c r="C80" s="6" t="n">
        <v>-0.1226</v>
      </c>
    </row>
    <row r="81">
      <c r="A81" s="7" t="n">
        <v>44712</v>
      </c>
      <c r="B81" s="6" t="n">
        <v>-0.099</v>
      </c>
      <c r="C81" s="6" t="n">
        <v>-0.1196</v>
      </c>
    </row>
    <row r="82">
      <c r="A82" s="7" t="n">
        <v>44742</v>
      </c>
      <c r="B82" s="6" t="n">
        <v>-0.1505</v>
      </c>
      <c r="C82" s="6" t="n">
        <v>-0.1838</v>
      </c>
    </row>
    <row r="83">
      <c r="A83" s="7" t="n">
        <v>44773</v>
      </c>
      <c r="B83" s="6" t="n">
        <v>-0.1034</v>
      </c>
      <c r="C83" s="6" t="n">
        <v>-0.1192</v>
      </c>
    </row>
    <row r="84">
      <c r="A84" s="7" t="n">
        <v>44804</v>
      </c>
      <c r="B84" s="6" t="n">
        <v>-0.1396</v>
      </c>
      <c r="C84" s="6" t="n">
        <v>-0.1557</v>
      </c>
    </row>
    <row r="85">
      <c r="A85" s="7" t="n">
        <v>44834</v>
      </c>
      <c r="B85" s="6" t="n">
        <v>-0.2048</v>
      </c>
      <c r="C85" s="6" t="n">
        <v>-0.2265</v>
      </c>
    </row>
    <row r="86">
      <c r="A86" s="7" t="n">
        <v>44865</v>
      </c>
      <c r="B86" s="6" t="n">
        <v>-0.1697</v>
      </c>
      <c r="C86" s="6" t="n">
        <v>-0.1749</v>
      </c>
    </row>
    <row r="87">
      <c r="A87" s="7" t="n">
        <v>44895</v>
      </c>
      <c r="B87" s="6" t="n">
        <v>-0.123</v>
      </c>
      <c r="C87" s="6" t="n">
        <v>-0.1267</v>
      </c>
    </row>
    <row r="88">
      <c r="A88" s="7" t="n">
        <v>44926</v>
      </c>
      <c r="B88" s="6" t="n">
        <v>-0.1529</v>
      </c>
      <c r="C88" s="6" t="n">
        <v>-0.169</v>
      </c>
    </row>
    <row r="89">
      <c r="A89" s="7" t="n">
        <v>44957</v>
      </c>
      <c r="B89" s="6" t="n">
        <v>-0.1148</v>
      </c>
      <c r="C89" s="6" t="n">
        <v>-0.1191</v>
      </c>
    </row>
    <row r="90">
      <c r="A90" s="7" t="n">
        <v>44985</v>
      </c>
      <c r="B90" s="6" t="n">
        <v>-0.1431</v>
      </c>
      <c r="C90" s="6" t="n">
        <v>-0.1411</v>
      </c>
    </row>
    <row r="91">
      <c r="A91" s="7" t="n">
        <v>45016</v>
      </c>
      <c r="B91" s="6" t="n">
        <v>-0.112</v>
      </c>
      <c r="C91" s="6" t="n">
        <v>-0.1111</v>
      </c>
    </row>
    <row r="92">
      <c r="A92" s="7" t="n">
        <v>45046</v>
      </c>
      <c r="B92" s="6" t="n">
        <v>-0.1005</v>
      </c>
      <c r="C92" s="6" t="n">
        <v>-0.0975</v>
      </c>
    </row>
    <row r="93">
      <c r="A93" s="7" t="n">
        <v>45077</v>
      </c>
      <c r="B93" s="6" t="n">
        <v>-0.1176</v>
      </c>
      <c r="C93" s="6" t="n">
        <v>-0.098</v>
      </c>
    </row>
    <row r="94">
      <c r="A94" s="7" t="n">
        <v>45107</v>
      </c>
      <c r="B94" s="6" t="n">
        <v>-0.0827</v>
      </c>
      <c r="C94" s="6" t="n">
        <v>-0.0501</v>
      </c>
    </row>
    <row r="95">
      <c r="A95" s="7" t="n">
        <v>45138</v>
      </c>
      <c r="B95" s="6" t="n">
        <v>-0.0737</v>
      </c>
      <c r="C95" s="6" t="n">
        <v>-0.0243</v>
      </c>
    </row>
    <row r="96">
      <c r="A96" s="7" t="n">
        <v>45169</v>
      </c>
      <c r="B96" s="6" t="n">
        <v>-0.0931</v>
      </c>
      <c r="C96" s="6" t="n">
        <v>-0.04</v>
      </c>
    </row>
    <row r="97">
      <c r="A97" s="7" t="n">
        <v>45199</v>
      </c>
      <c r="B97" s="6" t="n">
        <v>-0.137</v>
      </c>
      <c r="C97" s="6" t="n">
        <v>-0.0809</v>
      </c>
    </row>
    <row r="98">
      <c r="A98" s="7" t="n">
        <v>45230</v>
      </c>
      <c r="B98" s="6" t="n">
        <v>-0.1567</v>
      </c>
      <c r="C98" s="6" t="n">
        <v>-0.09959999999999999</v>
      </c>
    </row>
    <row r="99">
      <c r="A99" s="7" t="n">
        <v>45260</v>
      </c>
      <c r="B99" s="6" t="n">
        <v>-0.09569999999999999</v>
      </c>
      <c r="C99" s="6" t="n">
        <v>-0.025</v>
      </c>
    </row>
    <row r="100">
      <c r="A100" s="7" t="n">
        <v>45291</v>
      </c>
      <c r="B100" s="6" t="n">
        <v>-0.057</v>
      </c>
      <c r="C100" s="6" t="n">
        <v>0</v>
      </c>
    </row>
    <row r="101">
      <c r="A101" s="7" t="n">
        <v>45322</v>
      </c>
      <c r="B101" s="6" t="n">
        <v>-0.044</v>
      </c>
      <c r="C101" s="6" t="n">
        <v>0</v>
      </c>
    </row>
    <row r="102">
      <c r="A102" s="7" t="n">
        <v>45351</v>
      </c>
      <c r="B102" s="6" t="n">
        <v>-0.0223</v>
      </c>
      <c r="C102" s="6" t="n">
        <v>0</v>
      </c>
    </row>
    <row r="103">
      <c r="A103" s="7" t="n">
        <v>45382</v>
      </c>
      <c r="B103" s="6" t="n">
        <v>0</v>
      </c>
      <c r="C103" s="6" t="n">
        <v>0</v>
      </c>
    </row>
    <row r="104">
      <c r="A104" s="7" t="n">
        <v>45412</v>
      </c>
      <c r="B104" s="6" t="n">
        <v>-0.0409</v>
      </c>
      <c r="C104" s="6" t="n">
        <v>-0.0365</v>
      </c>
    </row>
    <row r="105">
      <c r="A105" s="7" t="n">
        <v>45443</v>
      </c>
      <c r="B105" s="6" t="n">
        <v>-0.0045</v>
      </c>
      <c r="C105" s="6" t="n">
        <v>0</v>
      </c>
    </row>
    <row r="106">
      <c r="A106" s="7" t="n">
        <v>45473</v>
      </c>
      <c r="B106" s="6" t="n">
        <v>0</v>
      </c>
      <c r="C106" s="6" t="n">
        <v>0</v>
      </c>
    </row>
    <row r="107">
      <c r="A107" s="7" t="n">
        <v>45504</v>
      </c>
      <c r="B107" s="6" t="n">
        <v>0</v>
      </c>
      <c r="C107" s="6" t="n">
        <v>0</v>
      </c>
    </row>
    <row r="108">
      <c r="A108" s="7" t="n">
        <v>45535</v>
      </c>
      <c r="B108" s="6" t="n">
        <v>0</v>
      </c>
      <c r="C108" s="6" t="n">
        <v>0</v>
      </c>
    </row>
    <row r="109">
      <c r="A109" s="7" t="n">
        <v>45565</v>
      </c>
      <c r="B109" s="6" t="n">
        <v>0</v>
      </c>
      <c r="C109" s="6" t="n">
        <v>0</v>
      </c>
    </row>
    <row r="110">
      <c r="A110" s="7" t="n">
        <v>45596</v>
      </c>
      <c r="B110" s="6" t="n">
        <v>-0.0175</v>
      </c>
      <c r="C110" s="6" t="n">
        <v>-0.0137</v>
      </c>
    </row>
    <row r="111">
      <c r="A111" s="7" t="n">
        <v>45626</v>
      </c>
      <c r="B111" s="6" t="n">
        <v>0</v>
      </c>
      <c r="C111" s="6" t="n">
        <v>0</v>
      </c>
    </row>
    <row r="112">
      <c r="A112" s="7" t="n">
        <v>45657</v>
      </c>
      <c r="B112" s="6" t="n">
        <v>-0.0413</v>
      </c>
      <c r="C112" s="6" t="n">
        <v>-0.0228</v>
      </c>
    </row>
    <row r="113">
      <c r="A113" s="7" t="n">
        <v>45688</v>
      </c>
      <c r="B113" s="6" t="n">
        <v>-0.0127</v>
      </c>
      <c r="C113" s="6" t="n">
        <v>0</v>
      </c>
    </row>
    <row r="114">
      <c r="A114" s="7" t="n">
        <v>45716</v>
      </c>
      <c r="B114" s="6" t="n">
        <v>0</v>
      </c>
      <c r="C114" s="6" t="n">
        <v>-0.0049</v>
      </c>
    </row>
    <row r="115">
      <c r="A115" s="7" t="n">
        <v>45747</v>
      </c>
      <c r="B115" s="6" t="n">
        <v>-0.0293</v>
      </c>
      <c r="C115" s="6" t="n">
        <v>-0.048</v>
      </c>
    </row>
    <row r="116">
      <c r="A116" s="7" t="n">
        <v>45777</v>
      </c>
      <c r="B116" s="6" t="n">
        <v>-0.0316</v>
      </c>
      <c r="C116" s="6" t="n">
        <v>-0.0498</v>
      </c>
    </row>
    <row r="117">
      <c r="A117" s="7" t="n">
        <v>45808</v>
      </c>
      <c r="B117" s="6" t="n">
        <v>-0.0068</v>
      </c>
      <c r="C117" s="6" t="n">
        <v>-0.0007</v>
      </c>
    </row>
    <row r="118">
      <c r="A118" s="7" t="n">
        <v>45838</v>
      </c>
      <c r="B118" s="6" t="n">
        <v>0</v>
      </c>
      <c r="C118" s="6" t="n">
        <v>0</v>
      </c>
    </row>
    <row r="119">
      <c r="A119" s="7" t="n">
        <v>45869</v>
      </c>
      <c r="B119" s="6" t="n">
        <v>0</v>
      </c>
      <c r="C119" s="6" t="n">
        <v>0</v>
      </c>
    </row>
    <row r="120">
      <c r="A120" s="7" t="n">
        <v>45900</v>
      </c>
      <c r="B120" s="6" t="n">
        <v>0</v>
      </c>
      <c r="C120" s="6" t="n">
        <v>0</v>
      </c>
    </row>
    <row r="121">
      <c r="A121" s="7" t="n">
        <v>45930</v>
      </c>
      <c r="B121" s="6" t="n">
        <v>0</v>
      </c>
      <c r="C121" s="6" t="n">
        <v>0</v>
      </c>
    </row>
    <row r="122">
      <c r="A122" s="7" t="n">
        <v>45961</v>
      </c>
      <c r="B122" s="6" t="n">
        <v>0</v>
      </c>
      <c r="C122" s="6" t="n">
        <v>0</v>
      </c>
    </row>
    <row r="123">
      <c r="A123" s="7" t="n">
        <v>45991</v>
      </c>
      <c r="B123" s="6" t="n">
        <v>0</v>
      </c>
      <c r="C123" s="6" t="n">
        <v>0</v>
      </c>
    </row>
    <row r="124">
      <c r="A124" s="7" t="n">
        <v>46022</v>
      </c>
      <c r="B124" s="6" t="n">
        <v>0</v>
      </c>
      <c r="C124" s="6" t="n">
        <v>0</v>
      </c>
    </row>
    <row r="125">
      <c r="A125" s="7" t="n">
        <v>46053</v>
      </c>
      <c r="B125" s="6" t="n">
        <v>0</v>
      </c>
      <c r="C125" s="6" t="n">
        <v>0</v>
      </c>
    </row>
    <row r="126">
      <c r="A126" s="7" t="n">
        <v>46081</v>
      </c>
      <c r="B126" s="6" t="n">
        <v>0</v>
      </c>
      <c r="C126" s="6" t="n">
        <v>-0.0003</v>
      </c>
    </row>
    <row r="127">
      <c r="A127" s="7" t="n">
        <v>46112</v>
      </c>
      <c r="B127" s="6" t="n">
        <v>-0.0503</v>
      </c>
      <c r="C127" s="6" t="n">
        <v>-0.0477</v>
      </c>
    </row>
    <row r="128">
      <c r="A128" s="7" t="n">
        <v>46142</v>
      </c>
      <c r="B128" s="6" t="n">
        <v>0</v>
      </c>
      <c r="C128" s="6" t="n">
        <v>0</v>
      </c>
    </row>
    <row r="129">
      <c r="A129" s="7" t="n">
        <v>46173</v>
      </c>
      <c r="B129" s="6" t="n">
        <v>0</v>
      </c>
      <c r="C129" s="6" t="n">
        <v>0</v>
      </c>
    </row>
    <row r="130">
      <c r="A130" s="7" t="n">
        <v>46203</v>
      </c>
      <c r="B130" s="6" t="n">
        <v>-0.0013</v>
      </c>
      <c r="C130" s="6" t="n">
        <v>-0.0068</v>
      </c>
    </row>
    <row r="131">
      <c r="A131" s="7" t="n">
        <v>46234</v>
      </c>
      <c r="B131" s="6" t="n">
        <v>-0.0232</v>
      </c>
      <c r="C131" s="6" t="n">
        <v>-0.0069</v>
      </c>
    </row>
    <row r="132">
      <c r="A132" s="7" t="n">
        <v>46265</v>
      </c>
      <c r="B132" s="6" t="n">
        <v>0</v>
      </c>
      <c r="C132" s="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Figura 6. Montecarlo: probabilidad de cumplir cada objetivo</t>
        </is>
      </c>
    </row>
    <row r="2">
      <c r="A2" s="3" t="inlineStr">
        <is>
          <t>20.000 escenarios de 50 años por bootstrap mensual. Fuente: codigo/montecarlo.py; modelo, hoja 08_Montecarlo.</t>
        </is>
      </c>
    </row>
    <row r="4">
      <c r="A4" s="4" t="inlineStr">
        <is>
          <t>Objetivo</t>
        </is>
      </c>
      <c r="B4" s="4" t="inlineStr">
        <is>
          <t>Nexum · histórico</t>
        </is>
      </c>
      <c r="C4" s="4" t="inlineStr">
        <is>
          <t>Nexum · prospectivo</t>
        </is>
      </c>
      <c r="D4" s="4" t="inlineStr">
        <is>
          <t>AGF · prospectivo</t>
        </is>
      </c>
      <c r="E4" s="4" t="inlineStr">
        <is>
          <t>Nexum · prospectivo en UF</t>
        </is>
      </c>
    </row>
    <row r="5">
      <c r="A5" t="inlineStr">
        <is>
          <t>Educación</t>
        </is>
      </c>
      <c r="B5" s="6" t="n">
        <v>1</v>
      </c>
      <c r="C5" s="6" t="n">
        <v>1</v>
      </c>
      <c r="D5" s="6" t="n">
        <v>1</v>
      </c>
      <c r="E5" s="6" t="n">
        <v>0.999</v>
      </c>
    </row>
    <row r="6">
      <c r="A6" t="inlineStr">
        <is>
          <t>Villarrica</t>
        </is>
      </c>
      <c r="B6" s="6" t="n">
        <v>0.9813</v>
      </c>
      <c r="C6" s="6" t="n">
        <v>0.713</v>
      </c>
      <c r="D6" s="6" t="n">
        <v>0.6358</v>
      </c>
      <c r="E6" s="6" t="n">
        <v>0.6451</v>
      </c>
    </row>
    <row r="7">
      <c r="A7" t="inlineStr">
        <is>
          <t>Herencia</t>
        </is>
      </c>
      <c r="B7" s="6" t="n">
        <v>0.9596</v>
      </c>
      <c r="C7" s="6" t="n">
        <v>0.4653</v>
      </c>
      <c r="D7" s="6" t="n">
        <v>0.4241</v>
      </c>
      <c r="E7" s="6" t="n">
        <v>0.4534</v>
      </c>
    </row>
    <row r="8">
      <c r="A8" t="inlineStr">
        <is>
          <t>Los 3 objetivos</t>
        </is>
      </c>
      <c r="B8" s="6" t="n">
        <v>0.9596</v>
      </c>
      <c r="C8" s="6" t="n">
        <v>0.4653</v>
      </c>
      <c r="D8" s="6" t="n">
        <v>0.4241</v>
      </c>
      <c r="E8" s="6" t="n">
        <v>0.4534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Figura 7. Abanico del patrimonio real (miles de USD de hoy)</t>
        </is>
      </c>
    </row>
    <row r="2">
      <c r="A2" s="3" t="inlineStr">
        <is>
          <t>Percentiles del patrimonio al cierre de cada año en los 20.000 escenarios. Columnas H-K: franjas apiladas (la base va sin relleno). Fuente: codigo/analisis_complementario.py; modelo, hoja 08_Montecarlo (B38).</t>
        </is>
      </c>
    </row>
    <row r="4">
      <c r="A4" s="4" t="inlineStr">
        <is>
          <t>Retornos históricos 2013-2026</t>
        </is>
      </c>
    </row>
    <row r="5">
      <c r="A5" s="4" t="inlineStr">
        <is>
          <t>Año</t>
        </is>
      </c>
      <c r="B5" s="4" t="inlineStr">
        <is>
          <t>P10</t>
        </is>
      </c>
      <c r="C5" s="4" t="inlineStr">
        <is>
          <t>P25</t>
        </is>
      </c>
      <c r="D5" s="4" t="inlineStr">
        <is>
          <t>P50 (mediana)</t>
        </is>
      </c>
      <c r="E5" s="4" t="inlineStr">
        <is>
          <t>P75</t>
        </is>
      </c>
      <c r="F5" s="4" t="inlineStr">
        <is>
          <t>P90</t>
        </is>
      </c>
      <c r="G5" s="4" t="inlineStr"/>
      <c r="H5" s="4" t="inlineStr">
        <is>
          <t>Base (P10)</t>
        </is>
      </c>
      <c r="I5" s="4" t="inlineStr">
        <is>
          <t>P10-P25</t>
        </is>
      </c>
      <c r="J5" s="4" t="inlineStr">
        <is>
          <t>P25-P75</t>
        </is>
      </c>
      <c r="K5" s="4" t="inlineStr">
        <is>
          <t>P75-P90</t>
        </is>
      </c>
    </row>
    <row r="6">
      <c r="A6" t="n">
        <v>0</v>
      </c>
      <c r="B6" s="9" t="n">
        <v>144</v>
      </c>
      <c r="C6" s="9" t="n">
        <v>144</v>
      </c>
      <c r="D6" s="9" t="n">
        <v>144</v>
      </c>
      <c r="E6" s="9" t="n">
        <v>144</v>
      </c>
      <c r="F6" s="9" t="n">
        <v>144</v>
      </c>
      <c r="G6" s="9" t="n"/>
      <c r="H6" s="9">
        <f>B6</f>
        <v/>
      </c>
      <c r="I6" s="9">
        <f>C6-B6</f>
        <v/>
      </c>
      <c r="J6" s="9">
        <f>E6-C6</f>
        <v/>
      </c>
      <c r="K6" s="9">
        <f>F6-E6</f>
        <v/>
      </c>
    </row>
    <row r="7">
      <c r="A7" t="n">
        <v>1</v>
      </c>
      <c r="B7" s="9" t="n">
        <v>136.5</v>
      </c>
      <c r="C7" s="9" t="n">
        <v>145.5</v>
      </c>
      <c r="D7" s="9" t="n">
        <v>155.7</v>
      </c>
      <c r="E7" s="9" t="n">
        <v>166.3</v>
      </c>
      <c r="F7" s="9" t="n">
        <v>176.1</v>
      </c>
      <c r="G7" s="9" t="n"/>
      <c r="H7" s="9">
        <f>B7</f>
        <v/>
      </c>
      <c r="I7" s="9">
        <f>C7-B7</f>
        <v/>
      </c>
      <c r="J7" s="9">
        <f>E7-C7</f>
        <v/>
      </c>
      <c r="K7" s="9">
        <f>F7-E7</f>
        <v/>
      </c>
    </row>
    <row r="8">
      <c r="A8" t="n">
        <v>2</v>
      </c>
      <c r="B8" s="9" t="n">
        <v>149.7</v>
      </c>
      <c r="C8" s="9" t="n">
        <v>162.7</v>
      </c>
      <c r="D8" s="9" t="n">
        <v>178.6</v>
      </c>
      <c r="E8" s="9" t="n">
        <v>195.2</v>
      </c>
      <c r="F8" s="9" t="n">
        <v>211.6</v>
      </c>
      <c r="G8" s="9" t="n"/>
      <c r="H8" s="9">
        <f>B8</f>
        <v/>
      </c>
      <c r="I8" s="9">
        <f>C8-B8</f>
        <v/>
      </c>
      <c r="J8" s="9">
        <f>E8-C8</f>
        <v/>
      </c>
      <c r="K8" s="9">
        <f>F8-E8</f>
        <v/>
      </c>
    </row>
    <row r="9">
      <c r="A9" t="n">
        <v>3</v>
      </c>
      <c r="B9" s="9" t="n">
        <v>165.3</v>
      </c>
      <c r="C9" s="9" t="n">
        <v>182.1</v>
      </c>
      <c r="D9" s="9" t="n">
        <v>203.3</v>
      </c>
      <c r="E9" s="9" t="n">
        <v>226.1</v>
      </c>
      <c r="F9" s="9" t="n">
        <v>248.4</v>
      </c>
      <c r="G9" s="9" t="n"/>
      <c r="H9" s="9">
        <f>B9</f>
        <v/>
      </c>
      <c r="I9" s="9">
        <f>C9-B9</f>
        <v/>
      </c>
      <c r="J9" s="9">
        <f>E9-C9</f>
        <v/>
      </c>
      <c r="K9" s="9">
        <f>F9-E9</f>
        <v/>
      </c>
    </row>
    <row r="10">
      <c r="A10" t="n">
        <v>4</v>
      </c>
      <c r="B10" s="9" t="n">
        <v>182.4</v>
      </c>
      <c r="C10" s="9" t="n">
        <v>203.5</v>
      </c>
      <c r="D10" s="9" t="n">
        <v>229.9</v>
      </c>
      <c r="E10" s="9" t="n">
        <v>258.9</v>
      </c>
      <c r="F10" s="9" t="n">
        <v>288.3</v>
      </c>
      <c r="G10" s="9" t="n"/>
      <c r="H10" s="9">
        <f>B10</f>
        <v/>
      </c>
      <c r="I10" s="9">
        <f>C10-B10</f>
        <v/>
      </c>
      <c r="J10" s="9">
        <f>E10-C10</f>
        <v/>
      </c>
      <c r="K10" s="9">
        <f>F10-E10</f>
        <v/>
      </c>
    </row>
    <row r="11">
      <c r="A11" t="n">
        <v>5</v>
      </c>
      <c r="B11" s="9" t="n">
        <v>199.7</v>
      </c>
      <c r="C11" s="9" t="n">
        <v>225.8</v>
      </c>
      <c r="D11" s="9" t="n">
        <v>258.5</v>
      </c>
      <c r="E11" s="9" t="n">
        <v>295.5</v>
      </c>
      <c r="F11" s="9" t="n">
        <v>332.3</v>
      </c>
      <c r="G11" s="9" t="n"/>
      <c r="H11" s="9">
        <f>B11</f>
        <v/>
      </c>
      <c r="I11" s="9">
        <f>C11-B11</f>
        <v/>
      </c>
      <c r="J11" s="9">
        <f>E11-C11</f>
        <v/>
      </c>
      <c r="K11" s="9">
        <f>F11-E11</f>
        <v/>
      </c>
    </row>
    <row r="12">
      <c r="A12" t="n">
        <v>6</v>
      </c>
      <c r="B12" s="9" t="n">
        <v>219.4</v>
      </c>
      <c r="C12" s="9" t="n">
        <v>250</v>
      </c>
      <c r="D12" s="9" t="n">
        <v>289.5</v>
      </c>
      <c r="E12" s="9" t="n">
        <v>333.7</v>
      </c>
      <c r="F12" s="9" t="n">
        <v>379.6</v>
      </c>
      <c r="G12" s="9" t="n"/>
      <c r="H12" s="9">
        <f>B12</f>
        <v/>
      </c>
      <c r="I12" s="9">
        <f>C12-B12</f>
        <v/>
      </c>
      <c r="J12" s="9">
        <f>E12-C12</f>
        <v/>
      </c>
      <c r="K12" s="9">
        <f>F12-E12</f>
        <v/>
      </c>
    </row>
    <row r="13">
      <c r="A13" t="n">
        <v>7</v>
      </c>
      <c r="B13" s="9" t="n">
        <v>240.4</v>
      </c>
      <c r="C13" s="9" t="n">
        <v>276.1</v>
      </c>
      <c r="D13" s="9" t="n">
        <v>322.9</v>
      </c>
      <c r="E13" s="9" t="n">
        <v>376.4</v>
      </c>
      <c r="F13" s="9" t="n">
        <v>432.8</v>
      </c>
      <c r="G13" s="9" t="n"/>
      <c r="H13" s="9">
        <f>B13</f>
        <v/>
      </c>
      <c r="I13" s="9">
        <f>C13-B13</f>
        <v/>
      </c>
      <c r="J13" s="9">
        <f>E13-C13</f>
        <v/>
      </c>
      <c r="K13" s="9">
        <f>F13-E13</f>
        <v/>
      </c>
    </row>
    <row r="14">
      <c r="A14" t="n">
        <v>8</v>
      </c>
      <c r="B14" s="9" t="n">
        <v>262.5</v>
      </c>
      <c r="C14" s="9" t="n">
        <v>304.6</v>
      </c>
      <c r="D14" s="9" t="n">
        <v>358.7</v>
      </c>
      <c r="E14" s="9" t="n">
        <v>422.2</v>
      </c>
      <c r="F14" s="9" t="n">
        <v>489.4</v>
      </c>
      <c r="G14" s="9" t="n"/>
      <c r="H14" s="9">
        <f>B14</f>
        <v/>
      </c>
      <c r="I14" s="9">
        <f>C14-B14</f>
        <v/>
      </c>
      <c r="J14" s="9">
        <f>E14-C14</f>
        <v/>
      </c>
      <c r="K14" s="9">
        <f>F14-E14</f>
        <v/>
      </c>
    </row>
    <row r="15">
      <c r="A15" t="n">
        <v>9</v>
      </c>
      <c r="B15" s="9" t="n">
        <v>286.2</v>
      </c>
      <c r="C15" s="9" t="n">
        <v>334.2</v>
      </c>
      <c r="D15" s="9" t="n">
        <v>397.3</v>
      </c>
      <c r="E15" s="9" t="n">
        <v>472.3</v>
      </c>
      <c r="F15" s="9" t="n">
        <v>550.9</v>
      </c>
      <c r="G15" s="9" t="n"/>
      <c r="H15" s="9">
        <f>B15</f>
        <v/>
      </c>
      <c r="I15" s="9">
        <f>C15-B15</f>
        <v/>
      </c>
      <c r="J15" s="9">
        <f>E15-C15</f>
        <v/>
      </c>
      <c r="K15" s="9">
        <f>F15-E15</f>
        <v/>
      </c>
    </row>
    <row r="16">
      <c r="A16" t="n">
        <v>10</v>
      </c>
      <c r="B16" s="9" t="n">
        <v>311.9</v>
      </c>
      <c r="C16" s="9" t="n">
        <v>366.6</v>
      </c>
      <c r="D16" s="9" t="n">
        <v>438.3</v>
      </c>
      <c r="E16" s="9" t="n">
        <v>524.5</v>
      </c>
      <c r="F16" s="9" t="n">
        <v>619</v>
      </c>
      <c r="G16" s="9" t="n"/>
      <c r="H16" s="9">
        <f>B16</f>
        <v/>
      </c>
      <c r="I16" s="9">
        <f>C16-B16</f>
        <v/>
      </c>
      <c r="J16" s="9">
        <f>E16-C16</f>
        <v/>
      </c>
      <c r="K16" s="9">
        <f>F16-E16</f>
        <v/>
      </c>
    </row>
    <row r="17">
      <c r="A17" t="n">
        <v>11</v>
      </c>
      <c r="B17" s="9" t="n">
        <v>339.9</v>
      </c>
      <c r="C17" s="9" t="n">
        <v>402.6</v>
      </c>
      <c r="D17" s="9" t="n">
        <v>484.8</v>
      </c>
      <c r="E17" s="9" t="n">
        <v>585.1</v>
      </c>
      <c r="F17" s="9" t="n">
        <v>692.5</v>
      </c>
      <c r="G17" s="9" t="n"/>
      <c r="H17" s="9">
        <f>B17</f>
        <v/>
      </c>
      <c r="I17" s="9">
        <f>C17-B17</f>
        <v/>
      </c>
      <c r="J17" s="9">
        <f>E17-C17</f>
        <v/>
      </c>
      <c r="K17" s="9">
        <f>F17-E17</f>
        <v/>
      </c>
    </row>
    <row r="18">
      <c r="A18" t="n">
        <v>12</v>
      </c>
      <c r="B18" s="9" t="n">
        <v>369.6</v>
      </c>
      <c r="C18" s="9" t="n">
        <v>438.9</v>
      </c>
      <c r="D18" s="9" t="n">
        <v>533.2</v>
      </c>
      <c r="E18" s="9" t="n">
        <v>649.7</v>
      </c>
      <c r="F18" s="9" t="n">
        <v>773.5</v>
      </c>
      <c r="G18" s="9" t="n"/>
      <c r="H18" s="9">
        <f>B18</f>
        <v/>
      </c>
      <c r="I18" s="9">
        <f>C18-B18</f>
        <v/>
      </c>
      <c r="J18" s="9">
        <f>E18-C18</f>
        <v/>
      </c>
      <c r="K18" s="9">
        <f>F18-E18</f>
        <v/>
      </c>
    </row>
    <row r="19">
      <c r="A19" t="n">
        <v>13</v>
      </c>
      <c r="B19" s="9" t="n">
        <v>400.5</v>
      </c>
      <c r="C19" s="9" t="n">
        <v>478.2</v>
      </c>
      <c r="D19" s="9" t="n">
        <v>585.8</v>
      </c>
      <c r="E19" s="9" t="n">
        <v>719.1</v>
      </c>
      <c r="F19" s="9" t="n">
        <v>865.3</v>
      </c>
      <c r="G19" s="9" t="n"/>
      <c r="H19" s="9">
        <f>B19</f>
        <v/>
      </c>
      <c r="I19" s="9">
        <f>C19-B19</f>
        <v/>
      </c>
      <c r="J19" s="9">
        <f>E19-C19</f>
        <v/>
      </c>
      <c r="K19" s="9">
        <f>F19-E19</f>
        <v/>
      </c>
    </row>
    <row r="20">
      <c r="A20" t="n">
        <v>14</v>
      </c>
      <c r="B20" s="9" t="n">
        <v>417.4</v>
      </c>
      <c r="C20" s="9" t="n">
        <v>507.5</v>
      </c>
      <c r="D20" s="9" t="n">
        <v>628.6</v>
      </c>
      <c r="E20" s="9" t="n">
        <v>779.9</v>
      </c>
      <c r="F20" s="9" t="n">
        <v>947.4</v>
      </c>
      <c r="G20" s="9" t="n"/>
      <c r="H20" s="9">
        <f>B20</f>
        <v/>
      </c>
      <c r="I20" s="9">
        <f>C20-B20</f>
        <v/>
      </c>
      <c r="J20" s="9">
        <f>E20-C20</f>
        <v/>
      </c>
      <c r="K20" s="9">
        <f>F20-E20</f>
        <v/>
      </c>
    </row>
    <row r="21">
      <c r="A21" t="n">
        <v>15</v>
      </c>
      <c r="B21" s="9" t="n">
        <v>440.1</v>
      </c>
      <c r="C21" s="9" t="n">
        <v>537.4</v>
      </c>
      <c r="D21" s="9" t="n">
        <v>673.4</v>
      </c>
      <c r="E21" s="9" t="n">
        <v>848.4</v>
      </c>
      <c r="F21" s="9" t="n">
        <v>1034.4</v>
      </c>
      <c r="G21" s="9" t="n"/>
      <c r="H21" s="9">
        <f>B21</f>
        <v/>
      </c>
      <c r="I21" s="9">
        <f>C21-B21</f>
        <v/>
      </c>
      <c r="J21" s="9">
        <f>E21-C21</f>
        <v/>
      </c>
      <c r="K21" s="9">
        <f>F21-E21</f>
        <v/>
      </c>
    </row>
    <row r="22">
      <c r="A22" t="n">
        <v>16</v>
      </c>
      <c r="B22" s="9" t="n">
        <v>447.4</v>
      </c>
      <c r="C22" s="9" t="n">
        <v>556.5</v>
      </c>
      <c r="D22" s="9" t="n">
        <v>710</v>
      </c>
      <c r="E22" s="9" t="n">
        <v>904.5</v>
      </c>
      <c r="F22" s="9" t="n">
        <v>1121.9</v>
      </c>
      <c r="G22" s="9" t="n"/>
      <c r="H22" s="9">
        <f>B22</f>
        <v/>
      </c>
      <c r="I22" s="9">
        <f>C22-B22</f>
        <v/>
      </c>
      <c r="J22" s="9">
        <f>E22-C22</f>
        <v/>
      </c>
      <c r="K22" s="9">
        <f>F22-E22</f>
        <v/>
      </c>
    </row>
    <row r="23">
      <c r="A23" t="n">
        <v>17</v>
      </c>
      <c r="B23" s="9" t="n">
        <v>455.7</v>
      </c>
      <c r="C23" s="9" t="n">
        <v>577.9</v>
      </c>
      <c r="D23" s="9" t="n">
        <v>748.6</v>
      </c>
      <c r="E23" s="9" t="n">
        <v>964</v>
      </c>
      <c r="F23" s="9" t="n">
        <v>1210.2</v>
      </c>
      <c r="G23" s="9" t="n"/>
      <c r="H23" s="9">
        <f>B23</f>
        <v/>
      </c>
      <c r="I23" s="9">
        <f>C23-B23</f>
        <v/>
      </c>
      <c r="J23" s="9">
        <f>E23-C23</f>
        <v/>
      </c>
      <c r="K23" s="9">
        <f>F23-E23</f>
        <v/>
      </c>
    </row>
    <row r="24">
      <c r="A24" t="n">
        <v>18</v>
      </c>
      <c r="B24" s="9" t="n">
        <v>466.7</v>
      </c>
      <c r="C24" s="9" t="n">
        <v>601.2</v>
      </c>
      <c r="D24" s="9" t="n">
        <v>788.3</v>
      </c>
      <c r="E24" s="9" t="n">
        <v>1033.2</v>
      </c>
      <c r="F24" s="9" t="n">
        <v>1304.7</v>
      </c>
      <c r="G24" s="9" t="n"/>
      <c r="H24" s="9">
        <f>B24</f>
        <v/>
      </c>
      <c r="I24" s="9">
        <f>C24-B24</f>
        <v/>
      </c>
      <c r="J24" s="9">
        <f>E24-C24</f>
        <v/>
      </c>
      <c r="K24" s="9">
        <f>F24-E24</f>
        <v/>
      </c>
    </row>
    <row r="25">
      <c r="A25" t="n">
        <v>19</v>
      </c>
      <c r="B25" s="9" t="n">
        <v>492.6</v>
      </c>
      <c r="C25" s="9" t="n">
        <v>641.1</v>
      </c>
      <c r="D25" s="9" t="n">
        <v>846.5</v>
      </c>
      <c r="E25" s="9" t="n">
        <v>1116.6</v>
      </c>
      <c r="F25" s="9" t="n">
        <v>1431.9</v>
      </c>
      <c r="G25" s="9" t="n"/>
      <c r="H25" s="9">
        <f>B25</f>
        <v/>
      </c>
      <c r="I25" s="9">
        <f>C25-B25</f>
        <v/>
      </c>
      <c r="J25" s="9">
        <f>E25-C25</f>
        <v/>
      </c>
      <c r="K25" s="9">
        <f>F25-E25</f>
        <v/>
      </c>
    </row>
    <row r="26">
      <c r="A26" t="n">
        <v>20</v>
      </c>
      <c r="B26" s="9" t="n">
        <v>519.5</v>
      </c>
      <c r="C26" s="9" t="n">
        <v>679.9</v>
      </c>
      <c r="D26" s="9" t="n">
        <v>905.9</v>
      </c>
      <c r="E26" s="9" t="n">
        <v>1211.7</v>
      </c>
      <c r="F26" s="9" t="n">
        <v>1568.2</v>
      </c>
      <c r="G26" s="9" t="n"/>
      <c r="H26" s="9">
        <f>B26</f>
        <v/>
      </c>
      <c r="I26" s="9">
        <f>C26-B26</f>
        <v/>
      </c>
      <c r="J26" s="9">
        <f>E26-C26</f>
        <v/>
      </c>
      <c r="K26" s="9">
        <f>F26-E26</f>
        <v/>
      </c>
    </row>
    <row r="27">
      <c r="A27" t="n">
        <v>21</v>
      </c>
      <c r="B27" s="9" t="n">
        <v>553</v>
      </c>
      <c r="C27" s="9" t="n">
        <v>726.1</v>
      </c>
      <c r="D27" s="9" t="n">
        <v>976.4</v>
      </c>
      <c r="E27" s="9" t="n">
        <v>1316.2</v>
      </c>
      <c r="F27" s="9" t="n">
        <v>1720.6</v>
      </c>
      <c r="G27" s="9" t="n"/>
      <c r="H27" s="9">
        <f>B27</f>
        <v/>
      </c>
      <c r="I27" s="9">
        <f>C27-B27</f>
        <v/>
      </c>
      <c r="J27" s="9">
        <f>E27-C27</f>
        <v/>
      </c>
      <c r="K27" s="9">
        <f>F27-E27</f>
        <v/>
      </c>
    </row>
    <row r="28">
      <c r="A28" t="n">
        <v>22</v>
      </c>
      <c r="B28" s="9" t="n">
        <v>587.8</v>
      </c>
      <c r="C28" s="9" t="n">
        <v>778.4</v>
      </c>
      <c r="D28" s="9" t="n">
        <v>1054.1</v>
      </c>
      <c r="E28" s="9" t="n">
        <v>1429.3</v>
      </c>
      <c r="F28" s="9" t="n">
        <v>1875.8</v>
      </c>
      <c r="G28" s="9" t="n"/>
      <c r="H28" s="9">
        <f>B28</f>
        <v/>
      </c>
      <c r="I28" s="9">
        <f>C28-B28</f>
        <v/>
      </c>
      <c r="J28" s="9">
        <f>E28-C28</f>
        <v/>
      </c>
      <c r="K28" s="9">
        <f>F28-E28</f>
        <v/>
      </c>
    </row>
    <row r="29">
      <c r="A29" t="n">
        <v>23</v>
      </c>
      <c r="B29" s="9" t="n">
        <v>624.2</v>
      </c>
      <c r="C29" s="9" t="n">
        <v>836.7</v>
      </c>
      <c r="D29" s="9" t="n">
        <v>1136.8</v>
      </c>
      <c r="E29" s="9" t="n">
        <v>1554.8</v>
      </c>
      <c r="F29" s="9" t="n">
        <v>2046.4</v>
      </c>
      <c r="G29" s="9" t="n"/>
      <c r="H29" s="9">
        <f>B29</f>
        <v/>
      </c>
      <c r="I29" s="9">
        <f>C29-B29</f>
        <v/>
      </c>
      <c r="J29" s="9">
        <f>E29-C29</f>
        <v/>
      </c>
      <c r="K29" s="9">
        <f>F29-E29</f>
        <v/>
      </c>
    </row>
    <row r="30">
      <c r="A30" t="n">
        <v>24</v>
      </c>
      <c r="B30" s="9" t="n">
        <v>664.2</v>
      </c>
      <c r="C30" s="9" t="n">
        <v>892</v>
      </c>
      <c r="D30" s="9" t="n">
        <v>1224.4</v>
      </c>
      <c r="E30" s="9" t="n">
        <v>1679.2</v>
      </c>
      <c r="F30" s="9" t="n">
        <v>2225.4</v>
      </c>
      <c r="G30" s="9" t="n"/>
      <c r="H30" s="9">
        <f>B30</f>
        <v/>
      </c>
      <c r="I30" s="9">
        <f>C30-B30</f>
        <v/>
      </c>
      <c r="J30" s="9">
        <f>E30-C30</f>
        <v/>
      </c>
      <c r="K30" s="9">
        <f>F30-E30</f>
        <v/>
      </c>
    </row>
    <row r="31">
      <c r="A31" t="n">
        <v>25</v>
      </c>
      <c r="B31" s="9" t="n">
        <v>707.7</v>
      </c>
      <c r="C31" s="9" t="n">
        <v>961.4</v>
      </c>
      <c r="D31" s="9" t="n">
        <v>1320.7</v>
      </c>
      <c r="E31" s="9" t="n">
        <v>1827.2</v>
      </c>
      <c r="F31" s="9" t="n">
        <v>2423.9</v>
      </c>
      <c r="G31" s="9" t="n"/>
      <c r="H31" s="9">
        <f>B31</f>
        <v/>
      </c>
      <c r="I31" s="9">
        <f>C31-B31</f>
        <v/>
      </c>
      <c r="J31" s="9">
        <f>E31-C31</f>
        <v/>
      </c>
      <c r="K31" s="9">
        <f>F31-E31</f>
        <v/>
      </c>
    </row>
    <row r="32">
      <c r="A32" t="n">
        <v>26</v>
      </c>
      <c r="B32" s="9" t="n">
        <v>255.7</v>
      </c>
      <c r="C32" s="9" t="n">
        <v>523.6</v>
      </c>
      <c r="D32" s="9" t="n">
        <v>912.2</v>
      </c>
      <c r="E32" s="9" t="n">
        <v>1468.8</v>
      </c>
      <c r="F32" s="9" t="n">
        <v>2127</v>
      </c>
      <c r="G32" s="9" t="n"/>
      <c r="H32" s="9">
        <f>B32</f>
        <v/>
      </c>
      <c r="I32" s="9">
        <f>C32-B32</f>
        <v/>
      </c>
      <c r="J32" s="9">
        <f>E32-C32</f>
        <v/>
      </c>
      <c r="K32" s="9">
        <f>F32-E32</f>
        <v/>
      </c>
    </row>
    <row r="33">
      <c r="A33" t="n">
        <v>27</v>
      </c>
      <c r="B33" s="9" t="n">
        <v>272.4</v>
      </c>
      <c r="C33" s="9" t="n">
        <v>559.1</v>
      </c>
      <c r="D33" s="9" t="n">
        <v>982.2</v>
      </c>
      <c r="E33" s="9" t="n">
        <v>1587.6</v>
      </c>
      <c r="F33" s="9" t="n">
        <v>2314.3</v>
      </c>
      <c r="G33" s="9" t="n"/>
      <c r="H33" s="9">
        <f>B33</f>
        <v/>
      </c>
      <c r="I33" s="9">
        <f>C33-B33</f>
        <v/>
      </c>
      <c r="J33" s="9">
        <f>E33-C33</f>
        <v/>
      </c>
      <c r="K33" s="9">
        <f>F33-E33</f>
        <v/>
      </c>
    </row>
    <row r="34">
      <c r="A34" t="n">
        <v>28</v>
      </c>
      <c r="B34" s="9" t="n">
        <v>290.3</v>
      </c>
      <c r="C34" s="9" t="n">
        <v>596.6</v>
      </c>
      <c r="D34" s="9" t="n">
        <v>1055.5</v>
      </c>
      <c r="E34" s="9" t="n">
        <v>1718.1</v>
      </c>
      <c r="F34" s="9" t="n">
        <v>2508.2</v>
      </c>
      <c r="G34" s="9" t="n"/>
      <c r="H34" s="9">
        <f>B34</f>
        <v/>
      </c>
      <c r="I34" s="9">
        <f>C34-B34</f>
        <v/>
      </c>
      <c r="J34" s="9">
        <f>E34-C34</f>
        <v/>
      </c>
      <c r="K34" s="9">
        <f>F34-E34</f>
        <v/>
      </c>
    </row>
    <row r="35">
      <c r="A35" t="n">
        <v>29</v>
      </c>
      <c r="B35" s="9" t="n">
        <v>308.9</v>
      </c>
      <c r="C35" s="9" t="n">
        <v>640.8</v>
      </c>
      <c r="D35" s="9" t="n">
        <v>1140.3</v>
      </c>
      <c r="E35" s="9" t="n">
        <v>1855.9</v>
      </c>
      <c r="F35" s="9" t="n">
        <v>2761.6</v>
      </c>
      <c r="G35" s="9" t="n"/>
      <c r="H35" s="9">
        <f>B35</f>
        <v/>
      </c>
      <c r="I35" s="9">
        <f>C35-B35</f>
        <v/>
      </c>
      <c r="J35" s="9">
        <f>E35-C35</f>
        <v/>
      </c>
      <c r="K35" s="9">
        <f>F35-E35</f>
        <v/>
      </c>
    </row>
    <row r="36">
      <c r="A36" t="n">
        <v>30</v>
      </c>
      <c r="B36" s="9" t="n">
        <v>333.2</v>
      </c>
      <c r="C36" s="9" t="n">
        <v>688.7</v>
      </c>
      <c r="D36" s="9" t="n">
        <v>1224.3</v>
      </c>
      <c r="E36" s="9" t="n">
        <v>2019.3</v>
      </c>
      <c r="F36" s="9" t="n">
        <v>2999.7</v>
      </c>
      <c r="G36" s="9" t="n"/>
      <c r="H36" s="9">
        <f>B36</f>
        <v/>
      </c>
      <c r="I36" s="9">
        <f>C36-B36</f>
        <v/>
      </c>
      <c r="J36" s="9">
        <f>E36-C36</f>
        <v/>
      </c>
      <c r="K36" s="9">
        <f>F36-E36</f>
        <v/>
      </c>
    </row>
    <row r="37">
      <c r="A37" t="n">
        <v>31</v>
      </c>
      <c r="B37" s="9" t="n">
        <v>355.3</v>
      </c>
      <c r="C37" s="9" t="n">
        <v>737.5</v>
      </c>
      <c r="D37" s="9" t="n">
        <v>1317.7</v>
      </c>
      <c r="E37" s="9" t="n">
        <v>2181.9</v>
      </c>
      <c r="F37" s="9" t="n">
        <v>3256.8</v>
      </c>
      <c r="G37" s="9" t="n"/>
      <c r="H37" s="9">
        <f>B37</f>
        <v/>
      </c>
      <c r="I37" s="9">
        <f>C37-B37</f>
        <v/>
      </c>
      <c r="J37" s="9">
        <f>E37-C37</f>
        <v/>
      </c>
      <c r="K37" s="9">
        <f>F37-E37</f>
        <v/>
      </c>
    </row>
    <row r="38">
      <c r="A38" t="n">
        <v>32</v>
      </c>
      <c r="B38" s="9" t="n">
        <v>380.7</v>
      </c>
      <c r="C38" s="9" t="n">
        <v>788.2</v>
      </c>
      <c r="D38" s="9" t="n">
        <v>1422.9</v>
      </c>
      <c r="E38" s="9" t="n">
        <v>2360.4</v>
      </c>
      <c r="F38" s="9" t="n">
        <v>3553.5</v>
      </c>
      <c r="G38" s="9" t="n"/>
      <c r="H38" s="9">
        <f>B38</f>
        <v/>
      </c>
      <c r="I38" s="9">
        <f>C38-B38</f>
        <v/>
      </c>
      <c r="J38" s="9">
        <f>E38-C38</f>
        <v/>
      </c>
      <c r="K38" s="9">
        <f>F38-E38</f>
        <v/>
      </c>
    </row>
    <row r="39">
      <c r="A39" t="n">
        <v>33</v>
      </c>
      <c r="B39" s="9" t="n">
        <v>408.8</v>
      </c>
      <c r="C39" s="9" t="n">
        <v>845.5</v>
      </c>
      <c r="D39" s="9" t="n">
        <v>1531.8</v>
      </c>
      <c r="E39" s="9" t="n">
        <v>2547.9</v>
      </c>
      <c r="F39" s="9" t="n">
        <v>3867.9</v>
      </c>
      <c r="G39" s="9" t="n"/>
      <c r="H39" s="9">
        <f>B39</f>
        <v/>
      </c>
      <c r="I39" s="9">
        <f>C39-B39</f>
        <v/>
      </c>
      <c r="J39" s="9">
        <f>E39-C39</f>
        <v/>
      </c>
      <c r="K39" s="9">
        <f>F39-E39</f>
        <v/>
      </c>
    </row>
    <row r="40">
      <c r="A40" t="n">
        <v>34</v>
      </c>
      <c r="B40" s="9" t="n">
        <v>438.7</v>
      </c>
      <c r="C40" s="9" t="n">
        <v>904.2</v>
      </c>
      <c r="D40" s="9" t="n">
        <v>1649.1</v>
      </c>
      <c r="E40" s="9" t="n">
        <v>2759.1</v>
      </c>
      <c r="F40" s="9" t="n">
        <v>4223.4</v>
      </c>
      <c r="G40" s="9" t="n"/>
      <c r="H40" s="9">
        <f>B40</f>
        <v/>
      </c>
      <c r="I40" s="9">
        <f>C40-B40</f>
        <v/>
      </c>
      <c r="J40" s="9">
        <f>E40-C40</f>
        <v/>
      </c>
      <c r="K40" s="9">
        <f>F40-E40</f>
        <v/>
      </c>
    </row>
    <row r="41">
      <c r="A41" t="n">
        <v>35</v>
      </c>
      <c r="B41" s="9" t="n">
        <v>466.5</v>
      </c>
      <c r="C41" s="9" t="n">
        <v>973.2</v>
      </c>
      <c r="D41" s="9" t="n">
        <v>1773.4</v>
      </c>
      <c r="E41" s="9" t="n">
        <v>2993.1</v>
      </c>
      <c r="F41" s="9" t="n">
        <v>4587</v>
      </c>
      <c r="G41" s="9" t="n"/>
      <c r="H41" s="9">
        <f>B41</f>
        <v/>
      </c>
      <c r="I41" s="9">
        <f>C41-B41</f>
        <v/>
      </c>
      <c r="J41" s="9">
        <f>E41-C41</f>
        <v/>
      </c>
      <c r="K41" s="9">
        <f>F41-E41</f>
        <v/>
      </c>
    </row>
    <row r="42">
      <c r="A42" t="n">
        <v>36</v>
      </c>
      <c r="B42" s="9" t="n">
        <v>503.5</v>
      </c>
      <c r="C42" s="9" t="n">
        <v>1041.4</v>
      </c>
      <c r="D42" s="9" t="n">
        <v>1918.1</v>
      </c>
      <c r="E42" s="9" t="n">
        <v>3238.5</v>
      </c>
      <c r="F42" s="9" t="n">
        <v>5013.5</v>
      </c>
      <c r="G42" s="9" t="n"/>
      <c r="H42" s="9">
        <f>B42</f>
        <v/>
      </c>
      <c r="I42" s="9">
        <f>C42-B42</f>
        <v/>
      </c>
      <c r="J42" s="9">
        <f>E42-C42</f>
        <v/>
      </c>
      <c r="K42" s="9">
        <f>F42-E42</f>
        <v/>
      </c>
    </row>
    <row r="43">
      <c r="A43" t="n">
        <v>37</v>
      </c>
      <c r="B43" s="9" t="n">
        <v>536.3</v>
      </c>
      <c r="C43" s="9" t="n">
        <v>1117.8</v>
      </c>
      <c r="D43" s="9" t="n">
        <v>2066.4</v>
      </c>
      <c r="E43" s="9" t="n">
        <v>3515.1</v>
      </c>
      <c r="F43" s="9" t="n">
        <v>5445.5</v>
      </c>
      <c r="G43" s="9" t="n"/>
      <c r="H43" s="9">
        <f>B43</f>
        <v/>
      </c>
      <c r="I43" s="9">
        <f>C43-B43</f>
        <v/>
      </c>
      <c r="J43" s="9">
        <f>E43-C43</f>
        <v/>
      </c>
      <c r="K43" s="9">
        <f>F43-E43</f>
        <v/>
      </c>
    </row>
    <row r="44">
      <c r="A44" t="n">
        <v>38</v>
      </c>
      <c r="B44" s="9" t="n">
        <v>569.4</v>
      </c>
      <c r="C44" s="9" t="n">
        <v>1191.5</v>
      </c>
      <c r="D44" s="9" t="n">
        <v>2220.2</v>
      </c>
      <c r="E44" s="9" t="n">
        <v>3797.9</v>
      </c>
      <c r="F44" s="9" t="n">
        <v>5875.5</v>
      </c>
      <c r="G44" s="9" t="n"/>
      <c r="H44" s="9">
        <f>B44</f>
        <v/>
      </c>
      <c r="I44" s="9">
        <f>C44-B44</f>
        <v/>
      </c>
      <c r="J44" s="9">
        <f>E44-C44</f>
        <v/>
      </c>
      <c r="K44" s="9">
        <f>F44-E44</f>
        <v/>
      </c>
    </row>
    <row r="45">
      <c r="A45" t="n">
        <v>39</v>
      </c>
      <c r="B45" s="9" t="n">
        <v>615.6</v>
      </c>
      <c r="C45" s="9" t="n">
        <v>1290.1</v>
      </c>
      <c r="D45" s="9" t="n">
        <v>2382.7</v>
      </c>
      <c r="E45" s="9" t="n">
        <v>4104.8</v>
      </c>
      <c r="F45" s="9" t="n">
        <v>6470</v>
      </c>
      <c r="G45" s="9" t="n"/>
      <c r="H45" s="9">
        <f>B45</f>
        <v/>
      </c>
      <c r="I45" s="9">
        <f>C45-B45</f>
        <v/>
      </c>
      <c r="J45" s="9">
        <f>E45-C45</f>
        <v/>
      </c>
      <c r="K45" s="9">
        <f>F45-E45</f>
        <v/>
      </c>
    </row>
    <row r="46">
      <c r="A46" t="n">
        <v>40</v>
      </c>
      <c r="B46" s="9" t="n">
        <v>654.7</v>
      </c>
      <c r="C46" s="9" t="n">
        <v>1387.2</v>
      </c>
      <c r="D46" s="9" t="n">
        <v>2580.9</v>
      </c>
      <c r="E46" s="9" t="n">
        <v>4431.5</v>
      </c>
      <c r="F46" s="9" t="n">
        <v>6992.9</v>
      </c>
      <c r="G46" s="9" t="n"/>
      <c r="H46" s="9">
        <f>B46</f>
        <v/>
      </c>
      <c r="I46" s="9">
        <f>C46-B46</f>
        <v/>
      </c>
      <c r="J46" s="9">
        <f>E46-C46</f>
        <v/>
      </c>
      <c r="K46" s="9">
        <f>F46-E46</f>
        <v/>
      </c>
    </row>
    <row r="47">
      <c r="A47" t="n">
        <v>41</v>
      </c>
      <c r="B47" s="9" t="n">
        <v>702.7</v>
      </c>
      <c r="C47" s="9" t="n">
        <v>1484.1</v>
      </c>
      <c r="D47" s="9" t="n">
        <v>2777.3</v>
      </c>
      <c r="E47" s="9" t="n">
        <v>4824.5</v>
      </c>
      <c r="F47" s="9" t="n">
        <v>7617</v>
      </c>
      <c r="G47" s="9" t="n"/>
      <c r="H47" s="9">
        <f>B47</f>
        <v/>
      </c>
      <c r="I47" s="9">
        <f>C47-B47</f>
        <v/>
      </c>
      <c r="J47" s="9">
        <f>E47-C47</f>
        <v/>
      </c>
      <c r="K47" s="9">
        <f>F47-E47</f>
        <v/>
      </c>
    </row>
    <row r="48">
      <c r="A48" t="n">
        <v>42</v>
      </c>
      <c r="B48" s="9" t="n">
        <v>750.2</v>
      </c>
      <c r="C48" s="9" t="n">
        <v>1593.7</v>
      </c>
      <c r="D48" s="9" t="n">
        <v>2993.7</v>
      </c>
      <c r="E48" s="9" t="n">
        <v>5195.4</v>
      </c>
      <c r="F48" s="9" t="n">
        <v>8259.6</v>
      </c>
      <c r="G48" s="9" t="n"/>
      <c r="H48" s="9">
        <f>B48</f>
        <v/>
      </c>
      <c r="I48" s="9">
        <f>C48-B48</f>
        <v/>
      </c>
      <c r="J48" s="9">
        <f>E48-C48</f>
        <v/>
      </c>
      <c r="K48" s="9">
        <f>F48-E48</f>
        <v/>
      </c>
    </row>
    <row r="49">
      <c r="A49" t="n">
        <v>43</v>
      </c>
      <c r="B49" s="9" t="n">
        <v>801.8</v>
      </c>
      <c r="C49" s="9" t="n">
        <v>1712.7</v>
      </c>
      <c r="D49" s="9" t="n">
        <v>3221.8</v>
      </c>
      <c r="E49" s="9" t="n">
        <v>5621.3</v>
      </c>
      <c r="F49" s="9" t="n">
        <v>8983.1</v>
      </c>
      <c r="G49" s="9" t="n"/>
      <c r="H49" s="9">
        <f>B49</f>
        <v/>
      </c>
      <c r="I49" s="9">
        <f>C49-B49</f>
        <v/>
      </c>
      <c r="J49" s="9">
        <f>E49-C49</f>
        <v/>
      </c>
      <c r="K49" s="9">
        <f>F49-E49</f>
        <v/>
      </c>
    </row>
    <row r="50">
      <c r="A50" t="n">
        <v>44</v>
      </c>
      <c r="B50" s="9" t="n">
        <v>857.1</v>
      </c>
      <c r="C50" s="9" t="n">
        <v>1835.9</v>
      </c>
      <c r="D50" s="9" t="n">
        <v>3477.9</v>
      </c>
      <c r="E50" s="9" t="n">
        <v>6084.6</v>
      </c>
      <c r="F50" s="9" t="n">
        <v>9758.5</v>
      </c>
      <c r="G50" s="9" t="n"/>
      <c r="H50" s="9">
        <f>B50</f>
        <v/>
      </c>
      <c r="I50" s="9">
        <f>C50-B50</f>
        <v/>
      </c>
      <c r="J50" s="9">
        <f>E50-C50</f>
        <v/>
      </c>
      <c r="K50" s="9">
        <f>F50-E50</f>
        <v/>
      </c>
    </row>
    <row r="51">
      <c r="A51" t="n">
        <v>45</v>
      </c>
      <c r="B51" s="9" t="n">
        <v>915.5</v>
      </c>
      <c r="C51" s="9" t="n">
        <v>1964.1</v>
      </c>
      <c r="D51" s="9" t="n">
        <v>3731.2</v>
      </c>
      <c r="E51" s="9" t="n">
        <v>6580</v>
      </c>
      <c r="F51" s="9" t="n">
        <v>10649.2</v>
      </c>
      <c r="G51" s="9" t="n"/>
      <c r="H51" s="9">
        <f>B51</f>
        <v/>
      </c>
      <c r="I51" s="9">
        <f>C51-B51</f>
        <v/>
      </c>
      <c r="J51" s="9">
        <f>E51-C51</f>
        <v/>
      </c>
      <c r="K51" s="9">
        <f>F51-E51</f>
        <v/>
      </c>
    </row>
    <row r="52">
      <c r="A52" t="n">
        <v>46</v>
      </c>
      <c r="B52" s="9" t="n">
        <v>984.8</v>
      </c>
      <c r="C52" s="9" t="n">
        <v>2109.1</v>
      </c>
      <c r="D52" s="9" t="n">
        <v>4024.1</v>
      </c>
      <c r="E52" s="9" t="n">
        <v>7118</v>
      </c>
      <c r="F52" s="9" t="n">
        <v>11515.3</v>
      </c>
      <c r="G52" s="9" t="n"/>
      <c r="H52" s="9">
        <f>B52</f>
        <v/>
      </c>
      <c r="I52" s="9">
        <f>C52-B52</f>
        <v/>
      </c>
      <c r="J52" s="9">
        <f>E52-C52</f>
        <v/>
      </c>
      <c r="K52" s="9">
        <f>F52-E52</f>
        <v/>
      </c>
    </row>
    <row r="53">
      <c r="A53" t="n">
        <v>47</v>
      </c>
      <c r="B53" s="9" t="n">
        <v>1058.2</v>
      </c>
      <c r="C53" s="9" t="n">
        <v>2268.1</v>
      </c>
      <c r="D53" s="9" t="n">
        <v>4333.3</v>
      </c>
      <c r="E53" s="9" t="n">
        <v>7710.4</v>
      </c>
      <c r="F53" s="9" t="n">
        <v>12474.7</v>
      </c>
      <c r="G53" s="9" t="n"/>
      <c r="H53" s="9">
        <f>B53</f>
        <v/>
      </c>
      <c r="I53" s="9">
        <f>C53-B53</f>
        <v/>
      </c>
      <c r="J53" s="9">
        <f>E53-C53</f>
        <v/>
      </c>
      <c r="K53" s="9">
        <f>F53-E53</f>
        <v/>
      </c>
    </row>
    <row r="54">
      <c r="A54" t="n">
        <v>48</v>
      </c>
      <c r="B54" s="9" t="n">
        <v>1141.1</v>
      </c>
      <c r="C54" s="9" t="n">
        <v>2439.4</v>
      </c>
      <c r="D54" s="9" t="n">
        <v>4675.9</v>
      </c>
      <c r="E54" s="9" t="n">
        <v>8344.299999999999</v>
      </c>
      <c r="F54" s="9" t="n">
        <v>13522.4</v>
      </c>
      <c r="G54" s="9" t="n"/>
      <c r="H54" s="9">
        <f>B54</f>
        <v/>
      </c>
      <c r="I54" s="9">
        <f>C54-B54</f>
        <v/>
      </c>
      <c r="J54" s="9">
        <f>E54-C54</f>
        <v/>
      </c>
      <c r="K54" s="9">
        <f>F54-E54</f>
        <v/>
      </c>
    </row>
    <row r="55">
      <c r="A55" t="n">
        <v>49</v>
      </c>
      <c r="B55" s="9" t="n">
        <v>1218.4</v>
      </c>
      <c r="C55" s="9" t="n">
        <v>2622.4</v>
      </c>
      <c r="D55" s="9" t="n">
        <v>5035.9</v>
      </c>
      <c r="E55" s="9" t="n">
        <v>8954</v>
      </c>
      <c r="F55" s="9" t="n">
        <v>14639.4</v>
      </c>
      <c r="G55" s="9" t="n"/>
      <c r="H55" s="9">
        <f>B55</f>
        <v/>
      </c>
      <c r="I55" s="9">
        <f>C55-B55</f>
        <v/>
      </c>
      <c r="J55" s="9">
        <f>E55-C55</f>
        <v/>
      </c>
      <c r="K55" s="9">
        <f>F55-E55</f>
        <v/>
      </c>
    </row>
    <row r="56">
      <c r="A56" t="n">
        <v>50</v>
      </c>
      <c r="B56" s="9" t="n">
        <v>1311.2</v>
      </c>
      <c r="C56" s="9" t="n">
        <v>2803</v>
      </c>
      <c r="D56" s="9" t="n">
        <v>5448.1</v>
      </c>
      <c r="E56" s="9" t="n">
        <v>9698.5</v>
      </c>
      <c r="F56" s="9" t="n">
        <v>15889.1</v>
      </c>
      <c r="G56" s="9" t="n"/>
      <c r="H56" s="9">
        <f>B56</f>
        <v/>
      </c>
      <c r="I56" s="9">
        <f>C56-B56</f>
        <v/>
      </c>
      <c r="J56" s="9">
        <f>E56-C56</f>
        <v/>
      </c>
      <c r="K56" s="9">
        <f>F56-E56</f>
        <v/>
      </c>
    </row>
    <row r="57"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</row>
    <row r="58"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>
      <c r="A59" s="4" t="inlineStr">
        <is>
          <t>Supuestos prospectivos</t>
        </is>
      </c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</row>
    <row r="60">
      <c r="A60" s="4" t="inlineStr">
        <is>
          <t>Año</t>
        </is>
      </c>
      <c r="B60" s="10" t="inlineStr">
        <is>
          <t>P10</t>
        </is>
      </c>
      <c r="C60" s="10" t="inlineStr">
        <is>
          <t>P25</t>
        </is>
      </c>
      <c r="D60" s="10" t="inlineStr">
        <is>
          <t>P50 (mediana)</t>
        </is>
      </c>
      <c r="E60" s="10" t="inlineStr">
        <is>
          <t>P75</t>
        </is>
      </c>
      <c r="F60" s="10" t="inlineStr">
        <is>
          <t>P90</t>
        </is>
      </c>
      <c r="G60" s="10" t="inlineStr"/>
      <c r="H60" s="10" t="inlineStr">
        <is>
          <t>Base (P10)</t>
        </is>
      </c>
      <c r="I60" s="10" t="inlineStr">
        <is>
          <t>P10-P25</t>
        </is>
      </c>
      <c r="J60" s="10" t="inlineStr">
        <is>
          <t>P25-P75</t>
        </is>
      </c>
      <c r="K60" s="10" t="inlineStr">
        <is>
          <t>P75-P90</t>
        </is>
      </c>
    </row>
    <row r="61">
      <c r="A61" t="n">
        <v>0</v>
      </c>
      <c r="B61" s="9" t="n">
        <v>144</v>
      </c>
      <c r="C61" s="9" t="n">
        <v>144</v>
      </c>
      <c r="D61" s="9" t="n">
        <v>144</v>
      </c>
      <c r="E61" s="9" t="n">
        <v>144</v>
      </c>
      <c r="F61" s="9" t="n">
        <v>144</v>
      </c>
      <c r="G61" s="9" t="n"/>
      <c r="H61" s="9">
        <f>B61</f>
        <v/>
      </c>
      <c r="I61" s="9">
        <f>C61-B61</f>
        <v/>
      </c>
      <c r="J61" s="9">
        <f>E61-C61</f>
        <v/>
      </c>
      <c r="K61" s="9">
        <f>F61-E61</f>
        <v/>
      </c>
    </row>
    <row r="62">
      <c r="A62" t="n">
        <v>1</v>
      </c>
      <c r="B62" s="9" t="n">
        <v>132.4</v>
      </c>
      <c r="C62" s="9" t="n">
        <v>141.2</v>
      </c>
      <c r="D62" s="9" t="n">
        <v>151</v>
      </c>
      <c r="E62" s="9" t="n">
        <v>161.3</v>
      </c>
      <c r="F62" s="9" t="n">
        <v>170.7</v>
      </c>
      <c r="G62" s="9" t="n"/>
      <c r="H62" s="9">
        <f>B62</f>
        <v/>
      </c>
      <c r="I62" s="9">
        <f>C62-B62</f>
        <v/>
      </c>
      <c r="J62" s="9">
        <f>E62-C62</f>
        <v/>
      </c>
      <c r="K62" s="9">
        <f>F62-E62</f>
        <v/>
      </c>
    </row>
    <row r="63">
      <c r="A63" t="n">
        <v>2</v>
      </c>
      <c r="B63" s="9" t="n">
        <v>141.2</v>
      </c>
      <c r="C63" s="9" t="n">
        <v>153.4</v>
      </c>
      <c r="D63" s="9" t="n">
        <v>168.4</v>
      </c>
      <c r="E63" s="9" t="n">
        <v>184</v>
      </c>
      <c r="F63" s="9" t="n">
        <v>199.4</v>
      </c>
      <c r="G63" s="9" t="n"/>
      <c r="H63" s="9">
        <f>B63</f>
        <v/>
      </c>
      <c r="I63" s="9">
        <f>C63-B63</f>
        <v/>
      </c>
      <c r="J63" s="9">
        <f>E63-C63</f>
        <v/>
      </c>
      <c r="K63" s="9">
        <f>F63-E63</f>
        <v/>
      </c>
    </row>
    <row r="64">
      <c r="A64" t="n">
        <v>3</v>
      </c>
      <c r="B64" s="9" t="n">
        <v>151.9</v>
      </c>
      <c r="C64" s="9" t="n">
        <v>167.2</v>
      </c>
      <c r="D64" s="9" t="n">
        <v>186.6</v>
      </c>
      <c r="E64" s="9" t="n">
        <v>207.4</v>
      </c>
      <c r="F64" s="9" t="n">
        <v>227.8</v>
      </c>
      <c r="G64" s="9" t="n"/>
      <c r="H64" s="9">
        <f>B64</f>
        <v/>
      </c>
      <c r="I64" s="9">
        <f>C64-B64</f>
        <v/>
      </c>
      <c r="J64" s="9">
        <f>E64-C64</f>
        <v/>
      </c>
      <c r="K64" s="9">
        <f>F64-E64</f>
        <v/>
      </c>
    </row>
    <row r="65">
      <c r="A65" t="n">
        <v>4</v>
      </c>
      <c r="B65" s="9" t="n">
        <v>163.4</v>
      </c>
      <c r="C65" s="9" t="n">
        <v>182.2</v>
      </c>
      <c r="D65" s="9" t="n">
        <v>205.6</v>
      </c>
      <c r="E65" s="9" t="n">
        <v>231.2</v>
      </c>
      <c r="F65" s="9" t="n">
        <v>257.3</v>
      </c>
      <c r="G65" s="9" t="n"/>
      <c r="H65" s="9">
        <f>B65</f>
        <v/>
      </c>
      <c r="I65" s="9">
        <f>C65-B65</f>
        <v/>
      </c>
      <c r="J65" s="9">
        <f>E65-C65</f>
        <v/>
      </c>
      <c r="K65" s="9">
        <f>F65-E65</f>
        <v/>
      </c>
    </row>
    <row r="66">
      <c r="A66" t="n">
        <v>5</v>
      </c>
      <c r="B66" s="9" t="n">
        <v>174.6</v>
      </c>
      <c r="C66" s="9" t="n">
        <v>197.1</v>
      </c>
      <c r="D66" s="9" t="n">
        <v>225.4</v>
      </c>
      <c r="E66" s="9" t="n">
        <v>257.3</v>
      </c>
      <c r="F66" s="9" t="n">
        <v>288.9</v>
      </c>
      <c r="G66" s="9" t="n"/>
      <c r="H66" s="9">
        <f>B66</f>
        <v/>
      </c>
      <c r="I66" s="9">
        <f>C66-B66</f>
        <v/>
      </c>
      <c r="J66" s="9">
        <f>E66-C66</f>
        <v/>
      </c>
      <c r="K66" s="9">
        <f>F66-E66</f>
        <v/>
      </c>
    </row>
    <row r="67">
      <c r="A67" t="n">
        <v>6</v>
      </c>
      <c r="B67" s="9" t="n">
        <v>187.3</v>
      </c>
      <c r="C67" s="9" t="n">
        <v>213</v>
      </c>
      <c r="D67" s="9" t="n">
        <v>246.1</v>
      </c>
      <c r="E67" s="9" t="n">
        <v>283.2</v>
      </c>
      <c r="F67" s="9" t="n">
        <v>321.7</v>
      </c>
      <c r="G67" s="9" t="n"/>
      <c r="H67" s="9">
        <f>B67</f>
        <v/>
      </c>
      <c r="I67" s="9">
        <f>C67-B67</f>
        <v/>
      </c>
      <c r="J67" s="9">
        <f>E67-C67</f>
        <v/>
      </c>
      <c r="K67" s="9">
        <f>F67-E67</f>
        <v/>
      </c>
    </row>
    <row r="68">
      <c r="A68" t="n">
        <v>7</v>
      </c>
      <c r="B68" s="9" t="n">
        <v>200.5</v>
      </c>
      <c r="C68" s="9" t="n">
        <v>229.6</v>
      </c>
      <c r="D68" s="9" t="n">
        <v>267.9</v>
      </c>
      <c r="E68" s="9" t="n">
        <v>311.6</v>
      </c>
      <c r="F68" s="9" t="n">
        <v>357.6</v>
      </c>
      <c r="G68" s="9" t="n"/>
      <c r="H68" s="9">
        <f>B68</f>
        <v/>
      </c>
      <c r="I68" s="9">
        <f>C68-B68</f>
        <v/>
      </c>
      <c r="J68" s="9">
        <f>E68-C68</f>
        <v/>
      </c>
      <c r="K68" s="9">
        <f>F68-E68</f>
        <v/>
      </c>
    </row>
    <row r="69">
      <c r="A69" t="n">
        <v>8</v>
      </c>
      <c r="B69" s="9" t="n">
        <v>214</v>
      </c>
      <c r="C69" s="9" t="n">
        <v>247.5</v>
      </c>
      <c r="D69" s="9" t="n">
        <v>290.5</v>
      </c>
      <c r="E69" s="9" t="n">
        <v>340.7</v>
      </c>
      <c r="F69" s="9" t="n">
        <v>394</v>
      </c>
      <c r="G69" s="9" t="n"/>
      <c r="H69" s="9">
        <f>B69</f>
        <v/>
      </c>
      <c r="I69" s="9">
        <f>C69-B69</f>
        <v/>
      </c>
      <c r="J69" s="9">
        <f>E69-C69</f>
        <v/>
      </c>
      <c r="K69" s="9">
        <f>F69-E69</f>
        <v/>
      </c>
    </row>
    <row r="70">
      <c r="A70" t="n">
        <v>9</v>
      </c>
      <c r="B70" s="9" t="n">
        <v>228.1</v>
      </c>
      <c r="C70" s="9" t="n">
        <v>265.3</v>
      </c>
      <c r="D70" s="9" t="n">
        <v>314.1</v>
      </c>
      <c r="E70" s="9" t="n">
        <v>371.9</v>
      </c>
      <c r="F70" s="9" t="n">
        <v>432.5</v>
      </c>
      <c r="G70" s="9" t="n"/>
      <c r="H70" s="9">
        <f>B70</f>
        <v/>
      </c>
      <c r="I70" s="9">
        <f>C70-B70</f>
        <v/>
      </c>
      <c r="J70" s="9">
        <f>E70-C70</f>
        <v/>
      </c>
      <c r="K70" s="9">
        <f>F70-E70</f>
        <v/>
      </c>
    </row>
    <row r="71">
      <c r="A71" t="n">
        <v>10</v>
      </c>
      <c r="B71" s="9" t="n">
        <v>242.9</v>
      </c>
      <c r="C71" s="9" t="n">
        <v>284.3</v>
      </c>
      <c r="D71" s="9" t="n">
        <v>338.6</v>
      </c>
      <c r="E71" s="9" t="n">
        <v>403.1</v>
      </c>
      <c r="F71" s="9" t="n">
        <v>474</v>
      </c>
      <c r="G71" s="9" t="n"/>
      <c r="H71" s="9">
        <f>B71</f>
        <v/>
      </c>
      <c r="I71" s="9">
        <f>C71-B71</f>
        <v/>
      </c>
      <c r="J71" s="9">
        <f>E71-C71</f>
        <v/>
      </c>
      <c r="K71" s="9">
        <f>F71-E71</f>
        <v/>
      </c>
    </row>
    <row r="72">
      <c r="A72" t="n">
        <v>11</v>
      </c>
      <c r="B72" s="9" t="n">
        <v>258.9</v>
      </c>
      <c r="C72" s="9" t="n">
        <v>304.9</v>
      </c>
      <c r="D72" s="9" t="n">
        <v>365.4</v>
      </c>
      <c r="E72" s="9" t="n">
        <v>438.3</v>
      </c>
      <c r="F72" s="9" t="n">
        <v>517</v>
      </c>
      <c r="G72" s="9" t="n"/>
      <c r="H72" s="9">
        <f>B72</f>
        <v/>
      </c>
      <c r="I72" s="9">
        <f>C72-B72</f>
        <v/>
      </c>
      <c r="J72" s="9">
        <f>E72-C72</f>
        <v/>
      </c>
      <c r="K72" s="9">
        <f>F72-E72</f>
        <v/>
      </c>
    </row>
    <row r="73">
      <c r="A73" t="n">
        <v>12</v>
      </c>
      <c r="B73" s="9" t="n">
        <v>275.4</v>
      </c>
      <c r="C73" s="9" t="n">
        <v>325.2</v>
      </c>
      <c r="D73" s="9" t="n">
        <v>392.4</v>
      </c>
      <c r="E73" s="9" t="n">
        <v>475.2</v>
      </c>
      <c r="F73" s="9" t="n">
        <v>563.1</v>
      </c>
      <c r="G73" s="9" t="n"/>
      <c r="H73" s="9">
        <f>B73</f>
        <v/>
      </c>
      <c r="I73" s="9">
        <f>C73-B73</f>
        <v/>
      </c>
      <c r="J73" s="9">
        <f>E73-C73</f>
        <v/>
      </c>
      <c r="K73" s="9">
        <f>F73-E73</f>
        <v/>
      </c>
    </row>
    <row r="74">
      <c r="A74" t="n">
        <v>13</v>
      </c>
      <c r="B74" s="9" t="n">
        <v>291.9</v>
      </c>
      <c r="C74" s="9" t="n">
        <v>346</v>
      </c>
      <c r="D74" s="9" t="n">
        <v>421</v>
      </c>
      <c r="E74" s="9" t="n">
        <v>513.3</v>
      </c>
      <c r="F74" s="9" t="n">
        <v>613.3</v>
      </c>
      <c r="G74" s="9" t="n"/>
      <c r="H74" s="9">
        <f>B74</f>
        <v/>
      </c>
      <c r="I74" s="9">
        <f>C74-B74</f>
        <v/>
      </c>
      <c r="J74" s="9">
        <f>E74-C74</f>
        <v/>
      </c>
      <c r="K74" s="9">
        <f>F74-E74</f>
        <v/>
      </c>
    </row>
    <row r="75">
      <c r="A75" t="n">
        <v>14</v>
      </c>
      <c r="B75" s="9" t="n">
        <v>293.4</v>
      </c>
      <c r="C75" s="9" t="n">
        <v>354.6</v>
      </c>
      <c r="D75" s="9" t="n">
        <v>436.8</v>
      </c>
      <c r="E75" s="9" t="n">
        <v>538.7</v>
      </c>
      <c r="F75" s="9" t="n">
        <v>650.9</v>
      </c>
      <c r="G75" s="9" t="n"/>
      <c r="H75" s="9">
        <f>B75</f>
        <v/>
      </c>
      <c r="I75" s="9">
        <f>C75-B75</f>
        <v/>
      </c>
      <c r="J75" s="9">
        <f>E75-C75</f>
        <v/>
      </c>
      <c r="K75" s="9">
        <f>F75-E75</f>
        <v/>
      </c>
    </row>
    <row r="76">
      <c r="A76" t="n">
        <v>15</v>
      </c>
      <c r="B76" s="9" t="n">
        <v>297.9</v>
      </c>
      <c r="C76" s="9" t="n">
        <v>362.7</v>
      </c>
      <c r="D76" s="9" t="n">
        <v>452.3</v>
      </c>
      <c r="E76" s="9" t="n">
        <v>566.6</v>
      </c>
      <c r="F76" s="9" t="n">
        <v>688.3</v>
      </c>
      <c r="G76" s="9" t="n"/>
      <c r="H76" s="9">
        <f>B76</f>
        <v/>
      </c>
      <c r="I76" s="9">
        <f>C76-B76</f>
        <v/>
      </c>
      <c r="J76" s="9">
        <f>E76-C76</f>
        <v/>
      </c>
      <c r="K76" s="9">
        <f>F76-E76</f>
        <v/>
      </c>
    </row>
    <row r="77">
      <c r="A77" t="n">
        <v>16</v>
      </c>
      <c r="B77" s="9" t="n">
        <v>287.6</v>
      </c>
      <c r="C77" s="9" t="n">
        <v>357.9</v>
      </c>
      <c r="D77" s="9" t="n">
        <v>455.9</v>
      </c>
      <c r="E77" s="9" t="n">
        <v>580.2</v>
      </c>
      <c r="F77" s="9" t="n">
        <v>717.7</v>
      </c>
      <c r="G77" s="9" t="n"/>
      <c r="H77" s="9">
        <f>B77</f>
        <v/>
      </c>
      <c r="I77" s="9">
        <f>C77-B77</f>
        <v/>
      </c>
      <c r="J77" s="9">
        <f>E77-C77</f>
        <v/>
      </c>
      <c r="K77" s="9">
        <f>F77-E77</f>
        <v/>
      </c>
    </row>
    <row r="78">
      <c r="A78" t="n">
        <v>17</v>
      </c>
      <c r="B78" s="9" t="n">
        <v>277.2</v>
      </c>
      <c r="C78" s="9" t="n">
        <v>353.1</v>
      </c>
      <c r="D78" s="9" t="n">
        <v>459.5</v>
      </c>
      <c r="E78" s="9" t="n">
        <v>592.7</v>
      </c>
      <c r="F78" s="9" t="n">
        <v>743</v>
      </c>
      <c r="G78" s="9" t="n"/>
      <c r="H78" s="9">
        <f>B78</f>
        <v/>
      </c>
      <c r="I78" s="9">
        <f>C78-B78</f>
        <v/>
      </c>
      <c r="J78" s="9">
        <f>E78-C78</f>
        <v/>
      </c>
      <c r="K78" s="9">
        <f>F78-E78</f>
        <v/>
      </c>
    </row>
    <row r="79">
      <c r="A79" t="n">
        <v>18</v>
      </c>
      <c r="B79" s="9" t="n">
        <v>267.6</v>
      </c>
      <c r="C79" s="9" t="n">
        <v>349</v>
      </c>
      <c r="D79" s="9" t="n">
        <v>461</v>
      </c>
      <c r="E79" s="9" t="n">
        <v>608.4</v>
      </c>
      <c r="F79" s="9" t="n">
        <v>771.5</v>
      </c>
      <c r="G79" s="9" t="n"/>
      <c r="H79" s="9">
        <f>B79</f>
        <v/>
      </c>
      <c r="I79" s="9">
        <f>C79-B79</f>
        <v/>
      </c>
      <c r="J79" s="9">
        <f>E79-C79</f>
        <v/>
      </c>
      <c r="K79" s="9">
        <f>F79-E79</f>
        <v/>
      </c>
    </row>
    <row r="80">
      <c r="A80" t="n">
        <v>19</v>
      </c>
      <c r="B80" s="9" t="n">
        <v>272.1</v>
      </c>
      <c r="C80" s="9" t="n">
        <v>358.6</v>
      </c>
      <c r="D80" s="9" t="n">
        <v>478.6</v>
      </c>
      <c r="E80" s="9" t="n">
        <v>635.8</v>
      </c>
      <c r="F80" s="9" t="n">
        <v>818.1</v>
      </c>
      <c r="G80" s="9" t="n"/>
      <c r="H80" s="9">
        <f>B80</f>
        <v/>
      </c>
      <c r="I80" s="9">
        <f>C80-B80</f>
        <v/>
      </c>
      <c r="J80" s="9">
        <f>E80-C80</f>
        <v/>
      </c>
      <c r="K80" s="9">
        <f>F80-E80</f>
        <v/>
      </c>
    </row>
    <row r="81">
      <c r="A81" t="n">
        <v>20</v>
      </c>
      <c r="B81" s="9" t="n">
        <v>275.9</v>
      </c>
      <c r="C81" s="9" t="n">
        <v>367.1</v>
      </c>
      <c r="D81" s="9" t="n">
        <v>495</v>
      </c>
      <c r="E81" s="9" t="n">
        <v>667.2</v>
      </c>
      <c r="F81" s="9" t="n">
        <v>865.3</v>
      </c>
      <c r="G81" s="9" t="n"/>
      <c r="H81" s="9">
        <f>B81</f>
        <v/>
      </c>
      <c r="I81" s="9">
        <f>C81-B81</f>
        <v/>
      </c>
      <c r="J81" s="9">
        <f>E81-C81</f>
        <v/>
      </c>
      <c r="K81" s="9">
        <f>F81-E81</f>
        <v/>
      </c>
    </row>
    <row r="82">
      <c r="A82" t="n">
        <v>21</v>
      </c>
      <c r="B82" s="9" t="n">
        <v>285.2</v>
      </c>
      <c r="C82" s="9" t="n">
        <v>380.1</v>
      </c>
      <c r="D82" s="9" t="n">
        <v>517.5</v>
      </c>
      <c r="E82" s="9" t="n">
        <v>702.4</v>
      </c>
      <c r="F82" s="9" t="n">
        <v>921.9</v>
      </c>
      <c r="G82" s="9" t="n"/>
      <c r="H82" s="9">
        <f>B82</f>
        <v/>
      </c>
      <c r="I82" s="9">
        <f>C82-B82</f>
        <v/>
      </c>
      <c r="J82" s="9">
        <f>E82-C82</f>
        <v/>
      </c>
      <c r="K82" s="9">
        <f>F82-E82</f>
        <v/>
      </c>
    </row>
    <row r="83">
      <c r="A83" t="n">
        <v>22</v>
      </c>
      <c r="B83" s="9" t="n">
        <v>294.7</v>
      </c>
      <c r="C83" s="9" t="n">
        <v>395</v>
      </c>
      <c r="D83" s="9" t="n">
        <v>541.5</v>
      </c>
      <c r="E83" s="9" t="n">
        <v>739</v>
      </c>
      <c r="F83" s="9" t="n">
        <v>975.4</v>
      </c>
      <c r="G83" s="9" t="n"/>
      <c r="H83" s="9">
        <f>B83</f>
        <v/>
      </c>
      <c r="I83" s="9">
        <f>C83-B83</f>
        <v/>
      </c>
      <c r="J83" s="9">
        <f>E83-C83</f>
        <v/>
      </c>
      <c r="K83" s="9">
        <f>F83-E83</f>
        <v/>
      </c>
    </row>
    <row r="84">
      <c r="A84" t="n">
        <v>23</v>
      </c>
      <c r="B84" s="9" t="n">
        <v>303.5</v>
      </c>
      <c r="C84" s="9" t="n">
        <v>412.4</v>
      </c>
      <c r="D84" s="9" t="n">
        <v>565.9</v>
      </c>
      <c r="E84" s="9" t="n">
        <v>779.4</v>
      </c>
      <c r="F84" s="9" t="n">
        <v>1030.1</v>
      </c>
      <c r="G84" s="9" t="n"/>
      <c r="H84" s="9">
        <f>B84</f>
        <v/>
      </c>
      <c r="I84" s="9">
        <f>C84-B84</f>
        <v/>
      </c>
      <c r="J84" s="9">
        <f>E84-C84</f>
        <v/>
      </c>
      <c r="K84" s="9">
        <f>F84-E84</f>
        <v/>
      </c>
    </row>
    <row r="85">
      <c r="A85" t="n">
        <v>24</v>
      </c>
      <c r="B85" s="9" t="n">
        <v>313.9</v>
      </c>
      <c r="C85" s="9" t="n">
        <v>426.9</v>
      </c>
      <c r="D85" s="9" t="n">
        <v>591</v>
      </c>
      <c r="E85" s="9" t="n">
        <v>815.8</v>
      </c>
      <c r="F85" s="9" t="n">
        <v>1087.7</v>
      </c>
      <c r="G85" s="9" t="n"/>
      <c r="H85" s="9">
        <f>B85</f>
        <v/>
      </c>
      <c r="I85" s="9">
        <f>C85-B85</f>
        <v/>
      </c>
      <c r="J85" s="9">
        <f>E85-C85</f>
        <v/>
      </c>
      <c r="K85" s="9">
        <f>F85-E85</f>
        <v/>
      </c>
    </row>
    <row r="86">
      <c r="A86" t="n">
        <v>25</v>
      </c>
      <c r="B86" s="9" t="n">
        <v>324.3</v>
      </c>
      <c r="C86" s="9" t="n">
        <v>445.6</v>
      </c>
      <c r="D86" s="9" t="n">
        <v>617.8</v>
      </c>
      <c r="E86" s="9" t="n">
        <v>861</v>
      </c>
      <c r="F86" s="9" t="n">
        <v>1148.5</v>
      </c>
      <c r="G86" s="9" t="n"/>
      <c r="H86" s="9">
        <f>B86</f>
        <v/>
      </c>
      <c r="I86" s="9">
        <f>C86-B86</f>
        <v/>
      </c>
      <c r="J86" s="9">
        <f>E86-C86</f>
        <v/>
      </c>
      <c r="K86" s="9">
        <f>F86-E86</f>
        <v/>
      </c>
    </row>
    <row r="87">
      <c r="A87" t="n">
        <v>26</v>
      </c>
      <c r="B87" s="9" t="n">
        <v>0</v>
      </c>
      <c r="C87" s="9" t="n">
        <v>0</v>
      </c>
      <c r="D87" s="9" t="n">
        <v>153.3</v>
      </c>
      <c r="E87" s="9" t="n">
        <v>409.6</v>
      </c>
      <c r="F87" s="9" t="n">
        <v>717.9</v>
      </c>
      <c r="G87" s="9" t="n"/>
      <c r="H87" s="9">
        <f>B87</f>
        <v/>
      </c>
      <c r="I87" s="9">
        <f>C87-B87</f>
        <v/>
      </c>
      <c r="J87" s="9">
        <f>E87-C87</f>
        <v/>
      </c>
      <c r="K87" s="9">
        <f>F87-E87</f>
        <v/>
      </c>
    </row>
    <row r="88">
      <c r="A88" t="n">
        <v>27</v>
      </c>
      <c r="B88" s="9" t="n">
        <v>0</v>
      </c>
      <c r="C88" s="9" t="n">
        <v>0</v>
      </c>
      <c r="D88" s="9" t="n">
        <v>159</v>
      </c>
      <c r="E88" s="9" t="n">
        <v>426.2</v>
      </c>
      <c r="F88" s="9" t="n">
        <v>748.6</v>
      </c>
      <c r="G88" s="9" t="n"/>
      <c r="H88" s="9">
        <f>B88</f>
        <v/>
      </c>
      <c r="I88" s="9">
        <f>C88-B88</f>
        <v/>
      </c>
      <c r="J88" s="9">
        <f>E88-C88</f>
        <v/>
      </c>
      <c r="K88" s="9">
        <f>F88-E88</f>
        <v/>
      </c>
    </row>
    <row r="89">
      <c r="A89" t="n">
        <v>28</v>
      </c>
      <c r="B89" s="9" t="n">
        <v>0</v>
      </c>
      <c r="C89" s="9" t="n">
        <v>0</v>
      </c>
      <c r="D89" s="9" t="n">
        <v>164.4</v>
      </c>
      <c r="E89" s="9" t="n">
        <v>445.1</v>
      </c>
      <c r="F89" s="9" t="n">
        <v>786.4</v>
      </c>
      <c r="G89" s="9" t="n"/>
      <c r="H89" s="9">
        <f>B89</f>
        <v/>
      </c>
      <c r="I89" s="9">
        <f>C89-B89</f>
        <v/>
      </c>
      <c r="J89" s="9">
        <f>E89-C89</f>
        <v/>
      </c>
      <c r="K89" s="9">
        <f>F89-E89</f>
        <v/>
      </c>
    </row>
    <row r="90">
      <c r="A90" t="n">
        <v>29</v>
      </c>
      <c r="B90" s="9" t="n">
        <v>0</v>
      </c>
      <c r="C90" s="9" t="n">
        <v>0</v>
      </c>
      <c r="D90" s="9" t="n">
        <v>172.3</v>
      </c>
      <c r="E90" s="9" t="n">
        <v>464.7</v>
      </c>
      <c r="F90" s="9" t="n">
        <v>829.6</v>
      </c>
      <c r="G90" s="9" t="n"/>
      <c r="H90" s="9">
        <f>B90</f>
        <v/>
      </c>
      <c r="I90" s="9">
        <f>C90-B90</f>
        <v/>
      </c>
      <c r="J90" s="9">
        <f>E90-C90</f>
        <v/>
      </c>
      <c r="K90" s="9">
        <f>F90-E90</f>
        <v/>
      </c>
    </row>
    <row r="91">
      <c r="A91" t="n">
        <v>30</v>
      </c>
      <c r="B91" s="9" t="n">
        <v>0</v>
      </c>
      <c r="C91" s="9" t="n">
        <v>0</v>
      </c>
      <c r="D91" s="9" t="n">
        <v>180.1</v>
      </c>
      <c r="E91" s="9" t="n">
        <v>490.1</v>
      </c>
      <c r="F91" s="9" t="n">
        <v>879.3</v>
      </c>
      <c r="G91" s="9" t="n"/>
      <c r="H91" s="9">
        <f>B91</f>
        <v/>
      </c>
      <c r="I91" s="9">
        <f>C91-B91</f>
        <v/>
      </c>
      <c r="J91" s="9">
        <f>E91-C91</f>
        <v/>
      </c>
      <c r="K91" s="9">
        <f>F91-E91</f>
        <v/>
      </c>
    </row>
    <row r="92">
      <c r="A92" t="n">
        <v>31</v>
      </c>
      <c r="B92" s="9" t="n">
        <v>0</v>
      </c>
      <c r="C92" s="9" t="n">
        <v>0</v>
      </c>
      <c r="D92" s="9" t="n">
        <v>188.2</v>
      </c>
      <c r="E92" s="9" t="n">
        <v>515.1</v>
      </c>
      <c r="F92" s="9" t="n">
        <v>924.3</v>
      </c>
      <c r="G92" s="9" t="n"/>
      <c r="H92" s="9">
        <f>B92</f>
        <v/>
      </c>
      <c r="I92" s="9">
        <f>C92-B92</f>
        <v/>
      </c>
      <c r="J92" s="9">
        <f>E92-C92</f>
        <v/>
      </c>
      <c r="K92" s="9">
        <f>F92-E92</f>
        <v/>
      </c>
    </row>
    <row r="93">
      <c r="A93" t="n">
        <v>32</v>
      </c>
      <c r="B93" s="9" t="n">
        <v>0</v>
      </c>
      <c r="C93" s="9" t="n">
        <v>0</v>
      </c>
      <c r="D93" s="9" t="n">
        <v>196.6</v>
      </c>
      <c r="E93" s="9" t="n">
        <v>536.3</v>
      </c>
      <c r="F93" s="9" t="n">
        <v>975.5</v>
      </c>
      <c r="G93" s="9" t="n"/>
      <c r="H93" s="9">
        <f>B93</f>
        <v/>
      </c>
      <c r="I93" s="9">
        <f>C93-B93</f>
        <v/>
      </c>
      <c r="J93" s="9">
        <f>E93-C93</f>
        <v/>
      </c>
      <c r="K93" s="9">
        <f>F93-E93</f>
        <v/>
      </c>
    </row>
    <row r="94">
      <c r="A94" t="n">
        <v>33</v>
      </c>
      <c r="B94" s="9" t="n">
        <v>0</v>
      </c>
      <c r="C94" s="9" t="n">
        <v>0</v>
      </c>
      <c r="D94" s="9" t="n">
        <v>204.2</v>
      </c>
      <c r="E94" s="9" t="n">
        <v>561</v>
      </c>
      <c r="F94" s="9" t="n">
        <v>1014.1</v>
      </c>
      <c r="G94" s="9" t="n"/>
      <c r="H94" s="9">
        <f>B94</f>
        <v/>
      </c>
      <c r="I94" s="9">
        <f>C94-B94</f>
        <v/>
      </c>
      <c r="J94" s="9">
        <f>E94-C94</f>
        <v/>
      </c>
      <c r="K94" s="9">
        <f>F94-E94</f>
        <v/>
      </c>
    </row>
    <row r="95">
      <c r="A95" t="n">
        <v>34</v>
      </c>
      <c r="B95" s="9" t="n">
        <v>0</v>
      </c>
      <c r="C95" s="9" t="n">
        <v>0</v>
      </c>
      <c r="D95" s="9" t="n">
        <v>212.8</v>
      </c>
      <c r="E95" s="9" t="n">
        <v>586.8</v>
      </c>
      <c r="F95" s="9" t="n">
        <v>1070.5</v>
      </c>
      <c r="G95" s="9" t="n"/>
      <c r="H95" s="9">
        <f>B95</f>
        <v/>
      </c>
      <c r="I95" s="9">
        <f>C95-B95</f>
        <v/>
      </c>
      <c r="J95" s="9">
        <f>E95-C95</f>
        <v/>
      </c>
      <c r="K95" s="9">
        <f>F95-E95</f>
        <v/>
      </c>
    </row>
    <row r="96">
      <c r="A96" t="n">
        <v>35</v>
      </c>
      <c r="B96" s="9" t="n">
        <v>0</v>
      </c>
      <c r="C96" s="9" t="n">
        <v>0</v>
      </c>
      <c r="D96" s="9" t="n">
        <v>220.6</v>
      </c>
      <c r="E96" s="9" t="n">
        <v>613.2</v>
      </c>
      <c r="F96" s="9" t="n">
        <v>1126.6</v>
      </c>
      <c r="G96" s="9" t="n"/>
      <c r="H96" s="9">
        <f>B96</f>
        <v/>
      </c>
      <c r="I96" s="9">
        <f>C96-B96</f>
        <v/>
      </c>
      <c r="J96" s="9">
        <f>E96-C96</f>
        <v/>
      </c>
      <c r="K96" s="9">
        <f>F96-E96</f>
        <v/>
      </c>
    </row>
    <row r="97">
      <c r="A97" t="n">
        <v>36</v>
      </c>
      <c r="B97" s="9" t="n">
        <v>0</v>
      </c>
      <c r="C97" s="9" t="n">
        <v>0</v>
      </c>
      <c r="D97" s="9" t="n">
        <v>230.3</v>
      </c>
      <c r="E97" s="9" t="n">
        <v>645.6</v>
      </c>
      <c r="F97" s="9" t="n">
        <v>1190.5</v>
      </c>
      <c r="G97" s="9" t="n"/>
      <c r="H97" s="9">
        <f>B97</f>
        <v/>
      </c>
      <c r="I97" s="9">
        <f>C97-B97</f>
        <v/>
      </c>
      <c r="J97" s="9">
        <f>E97-C97</f>
        <v/>
      </c>
      <c r="K97" s="9">
        <f>F97-E97</f>
        <v/>
      </c>
    </row>
    <row r="98">
      <c r="A98" t="n">
        <v>37</v>
      </c>
      <c r="B98" s="9" t="n">
        <v>0</v>
      </c>
      <c r="C98" s="9" t="n">
        <v>0</v>
      </c>
      <c r="D98" s="9" t="n">
        <v>239.6</v>
      </c>
      <c r="E98" s="9" t="n">
        <v>676.6</v>
      </c>
      <c r="F98" s="9" t="n">
        <v>1255.5</v>
      </c>
      <c r="G98" s="9" t="n"/>
      <c r="H98" s="9">
        <f>B98</f>
        <v/>
      </c>
      <c r="I98" s="9">
        <f>C98-B98</f>
        <v/>
      </c>
      <c r="J98" s="9">
        <f>E98-C98</f>
        <v/>
      </c>
      <c r="K98" s="9">
        <f>F98-E98</f>
        <v/>
      </c>
    </row>
    <row r="99">
      <c r="A99" t="n">
        <v>38</v>
      </c>
      <c r="B99" s="9" t="n">
        <v>0</v>
      </c>
      <c r="C99" s="9" t="n">
        <v>0</v>
      </c>
      <c r="D99" s="9" t="n">
        <v>251.4</v>
      </c>
      <c r="E99" s="9" t="n">
        <v>707.7</v>
      </c>
      <c r="F99" s="9" t="n">
        <v>1321.8</v>
      </c>
      <c r="G99" s="9" t="n"/>
      <c r="H99" s="9">
        <f>B99</f>
        <v/>
      </c>
      <c r="I99" s="9">
        <f>C99-B99</f>
        <v/>
      </c>
      <c r="J99" s="9">
        <f>E99-C99</f>
        <v/>
      </c>
      <c r="K99" s="9">
        <f>F99-E99</f>
        <v/>
      </c>
    </row>
    <row r="100">
      <c r="A100" t="n">
        <v>39</v>
      </c>
      <c r="B100" s="9" t="n">
        <v>0</v>
      </c>
      <c r="C100" s="9" t="n">
        <v>0</v>
      </c>
      <c r="D100" s="9" t="n">
        <v>262.5</v>
      </c>
      <c r="E100" s="9" t="n">
        <v>741.8</v>
      </c>
      <c r="F100" s="9" t="n">
        <v>1386.3</v>
      </c>
      <c r="G100" s="9" t="n"/>
      <c r="H100" s="9">
        <f>B100</f>
        <v/>
      </c>
      <c r="I100" s="9">
        <f>C100-B100</f>
        <v/>
      </c>
      <c r="J100" s="9">
        <f>E100-C100</f>
        <v/>
      </c>
      <c r="K100" s="9">
        <f>F100-E100</f>
        <v/>
      </c>
    </row>
    <row r="101">
      <c r="A101" t="n">
        <v>40</v>
      </c>
      <c r="B101" s="9" t="n">
        <v>0</v>
      </c>
      <c r="C101" s="9" t="n">
        <v>0</v>
      </c>
      <c r="D101" s="9" t="n">
        <v>274.5</v>
      </c>
      <c r="E101" s="9" t="n">
        <v>771.9</v>
      </c>
      <c r="F101" s="9" t="n">
        <v>1464.1</v>
      </c>
      <c r="G101" s="9" t="n"/>
      <c r="H101" s="9">
        <f>B101</f>
        <v/>
      </c>
      <c r="I101" s="9">
        <f>C101-B101</f>
        <v/>
      </c>
      <c r="J101" s="9">
        <f>E101-C101</f>
        <v/>
      </c>
      <c r="K101" s="9">
        <f>F101-E101</f>
        <v/>
      </c>
    </row>
    <row r="102">
      <c r="A102" t="n">
        <v>41</v>
      </c>
      <c r="B102" s="9" t="n">
        <v>0</v>
      </c>
      <c r="C102" s="9" t="n">
        <v>0</v>
      </c>
      <c r="D102" s="9" t="n">
        <v>287</v>
      </c>
      <c r="E102" s="9" t="n">
        <v>809.7</v>
      </c>
      <c r="F102" s="9" t="n">
        <v>1529</v>
      </c>
      <c r="G102" s="9" t="n"/>
      <c r="H102" s="9">
        <f>B102</f>
        <v/>
      </c>
      <c r="I102" s="9">
        <f>C102-B102</f>
        <v/>
      </c>
      <c r="J102" s="9">
        <f>E102-C102</f>
        <v/>
      </c>
      <c r="K102" s="9">
        <f>F102-E102</f>
        <v/>
      </c>
    </row>
    <row r="103">
      <c r="A103" t="n">
        <v>42</v>
      </c>
      <c r="B103" s="9" t="n">
        <v>0</v>
      </c>
      <c r="C103" s="9" t="n">
        <v>0</v>
      </c>
      <c r="D103" s="9" t="n">
        <v>298.5</v>
      </c>
      <c r="E103" s="9" t="n">
        <v>843.7</v>
      </c>
      <c r="F103" s="9" t="n">
        <v>1611.8</v>
      </c>
      <c r="G103" s="9" t="n"/>
      <c r="H103" s="9">
        <f>B103</f>
        <v/>
      </c>
      <c r="I103" s="9">
        <f>C103-B103</f>
        <v/>
      </c>
      <c r="J103" s="9">
        <f>E103-C103</f>
        <v/>
      </c>
      <c r="K103" s="9">
        <f>F103-E103</f>
        <v/>
      </c>
    </row>
    <row r="104">
      <c r="A104" t="n">
        <v>43</v>
      </c>
      <c r="B104" s="9" t="n">
        <v>0</v>
      </c>
      <c r="C104" s="9" t="n">
        <v>0</v>
      </c>
      <c r="D104" s="9" t="n">
        <v>312.9</v>
      </c>
      <c r="E104" s="9" t="n">
        <v>881.2</v>
      </c>
      <c r="F104" s="9" t="n">
        <v>1695.2</v>
      </c>
      <c r="G104" s="9" t="n"/>
      <c r="H104" s="9">
        <f>B104</f>
        <v/>
      </c>
      <c r="I104" s="9">
        <f>C104-B104</f>
        <v/>
      </c>
      <c r="J104" s="9">
        <f>E104-C104</f>
        <v/>
      </c>
      <c r="K104" s="9">
        <f>F104-E104</f>
        <v/>
      </c>
    </row>
    <row r="105">
      <c r="A105" t="n">
        <v>44</v>
      </c>
      <c r="B105" s="9" t="n">
        <v>0</v>
      </c>
      <c r="C105" s="9" t="n">
        <v>0</v>
      </c>
      <c r="D105" s="9" t="n">
        <v>326.3</v>
      </c>
      <c r="E105" s="9" t="n">
        <v>920.2</v>
      </c>
      <c r="F105" s="9" t="n">
        <v>1785.8</v>
      </c>
      <c r="G105" s="9" t="n"/>
      <c r="H105" s="9">
        <f>B105</f>
        <v/>
      </c>
      <c r="I105" s="9">
        <f>C105-B105</f>
        <v/>
      </c>
      <c r="J105" s="9">
        <f>E105-C105</f>
        <v/>
      </c>
      <c r="K105" s="9">
        <f>F105-E105</f>
        <v/>
      </c>
    </row>
    <row r="106">
      <c r="A106" t="n">
        <v>45</v>
      </c>
      <c r="B106" s="9" t="n">
        <v>0</v>
      </c>
      <c r="C106" s="9" t="n">
        <v>0</v>
      </c>
      <c r="D106" s="9" t="n">
        <v>340.3</v>
      </c>
      <c r="E106" s="9" t="n">
        <v>966.1</v>
      </c>
      <c r="F106" s="9" t="n">
        <v>1872</v>
      </c>
      <c r="G106" s="9" t="n"/>
      <c r="H106" s="9">
        <f>B106</f>
        <v/>
      </c>
      <c r="I106" s="9">
        <f>C106-B106</f>
        <v/>
      </c>
      <c r="J106" s="9">
        <f>E106-C106</f>
        <v/>
      </c>
      <c r="K106" s="9">
        <f>F106-E106</f>
        <v/>
      </c>
    </row>
    <row r="107">
      <c r="A107" t="n">
        <v>46</v>
      </c>
      <c r="B107" s="9" t="n">
        <v>0</v>
      </c>
      <c r="C107" s="9" t="n">
        <v>0</v>
      </c>
      <c r="D107" s="9" t="n">
        <v>352.4</v>
      </c>
      <c r="E107" s="9" t="n">
        <v>1009.5</v>
      </c>
      <c r="F107" s="9" t="n">
        <v>1973.1</v>
      </c>
      <c r="G107" s="9" t="n"/>
      <c r="H107" s="9">
        <f>B107</f>
        <v/>
      </c>
      <c r="I107" s="9">
        <f>C107-B107</f>
        <v/>
      </c>
      <c r="J107" s="9">
        <f>E107-C107</f>
        <v/>
      </c>
      <c r="K107" s="9">
        <f>F107-E107</f>
        <v/>
      </c>
    </row>
    <row r="108">
      <c r="A108" t="n">
        <v>47</v>
      </c>
      <c r="B108" s="9" t="n">
        <v>0</v>
      </c>
      <c r="C108" s="9" t="n">
        <v>0</v>
      </c>
      <c r="D108" s="9" t="n">
        <v>367.7</v>
      </c>
      <c r="E108" s="9" t="n">
        <v>1062.5</v>
      </c>
      <c r="F108" s="9" t="n">
        <v>2067.6</v>
      </c>
      <c r="G108" s="9" t="n"/>
      <c r="H108" s="9">
        <f>B108</f>
        <v/>
      </c>
      <c r="I108" s="9">
        <f>C108-B108</f>
        <v/>
      </c>
      <c r="J108" s="9">
        <f>E108-C108</f>
        <v/>
      </c>
      <c r="K108" s="9">
        <f>F108-E108</f>
        <v/>
      </c>
    </row>
    <row r="109">
      <c r="A109" t="n">
        <v>48</v>
      </c>
      <c r="B109" s="9" t="n">
        <v>0</v>
      </c>
      <c r="C109" s="9" t="n">
        <v>0</v>
      </c>
      <c r="D109" s="9" t="n">
        <v>382.1</v>
      </c>
      <c r="E109" s="9" t="n">
        <v>1111.9</v>
      </c>
      <c r="F109" s="9" t="n">
        <v>2167.1</v>
      </c>
      <c r="G109" s="9" t="n"/>
      <c r="H109" s="9">
        <f>B109</f>
        <v/>
      </c>
      <c r="I109" s="9">
        <f>C109-B109</f>
        <v/>
      </c>
      <c r="J109" s="9">
        <f>E109-C109</f>
        <v/>
      </c>
      <c r="K109" s="9">
        <f>F109-E109</f>
        <v/>
      </c>
    </row>
    <row r="110">
      <c r="A110" t="n">
        <v>49</v>
      </c>
      <c r="B110" s="9" t="n">
        <v>0</v>
      </c>
      <c r="C110" s="9" t="n">
        <v>0</v>
      </c>
      <c r="D110" s="9" t="n">
        <v>400.1</v>
      </c>
      <c r="E110" s="9" t="n">
        <v>1158.5</v>
      </c>
      <c r="F110" s="9" t="n">
        <v>2275.5</v>
      </c>
      <c r="G110" s="9" t="n"/>
      <c r="H110" s="9">
        <f>B110</f>
        <v/>
      </c>
      <c r="I110" s="9">
        <f>C110-B110</f>
        <v/>
      </c>
      <c r="J110" s="9">
        <f>E110-C110</f>
        <v/>
      </c>
      <c r="K110" s="9">
        <f>F110-E110</f>
        <v/>
      </c>
    </row>
    <row r="111">
      <c r="A111" t="n">
        <v>50</v>
      </c>
      <c r="B111" s="9" t="n">
        <v>0</v>
      </c>
      <c r="C111" s="9" t="n">
        <v>0</v>
      </c>
      <c r="D111" s="9" t="n">
        <v>414.3</v>
      </c>
      <c r="E111" s="9" t="n">
        <v>1208.6</v>
      </c>
      <c r="F111" s="9" t="n">
        <v>2387.5</v>
      </c>
      <c r="G111" s="9" t="n"/>
      <c r="H111" s="9">
        <f>B111</f>
        <v/>
      </c>
      <c r="I111" s="9">
        <f>C111-B111</f>
        <v/>
      </c>
      <c r="J111" s="9">
        <f>E111-C111</f>
        <v/>
      </c>
      <c r="K111" s="9">
        <f>F111-E111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Figura 8. Robustez: Sharpe 2013-2026 de cada variante de parámetros (naranja = regla vigente)</t>
        </is>
      </c>
    </row>
    <row r="2">
      <c r="A2" s="3" t="inlineStr">
        <is>
          <t>Cada variante cambia un solo parámetro de la regla y repite el backtest completo. Fuente: codigo/validacion.py; modelo, hoja 09_Validacion.</t>
        </is>
      </c>
    </row>
    <row r="4">
      <c r="A4" s="4" t="inlineStr">
        <is>
          <t>Momentum</t>
        </is>
      </c>
    </row>
    <row r="5">
      <c r="A5" s="4" t="inlineStr">
        <is>
          <t>Variante</t>
        </is>
      </c>
      <c r="B5" s="4" t="inlineStr">
        <is>
          <t>Sharpe</t>
        </is>
      </c>
      <c r="C5" s="4" t="inlineStr">
        <is>
          <t>CAGR</t>
        </is>
      </c>
      <c r="D5" s="4" t="inlineStr">
        <is>
          <t>Máx. caída</t>
        </is>
      </c>
    </row>
    <row r="6">
      <c r="A6" t="inlineStr">
        <is>
          <t>Regla vigente</t>
        </is>
      </c>
      <c r="B6" s="11" t="n">
        <v>0.6840000000000001</v>
      </c>
      <c r="C6" s="6" t="n">
        <v>0.1618</v>
      </c>
      <c r="D6" s="6" t="n">
        <v>-0.3742</v>
      </c>
    </row>
    <row r="7">
      <c r="A7" t="inlineStr">
        <is>
          <t>Sin filtros (solo ranking)</t>
        </is>
      </c>
      <c r="B7" s="11" t="n">
        <v>0.707</v>
      </c>
      <c r="C7" s="6" t="n">
        <v>0.1708</v>
      </c>
      <c r="D7" s="6" t="n">
        <v>-0.3731</v>
      </c>
    </row>
    <row r="8">
      <c r="A8" t="inlineStr">
        <is>
          <t>Umbrales x2</t>
        </is>
      </c>
      <c r="B8" s="11" t="n">
        <v>0.739</v>
      </c>
      <c r="C8" s="6" t="n">
        <v>0.1766</v>
      </c>
      <c r="D8" s="6" t="n">
        <v>-0.3621</v>
      </c>
    </row>
    <row r="9">
      <c r="A9" t="inlineStr">
        <is>
          <t>Sin filtro de Sharpe</t>
        </is>
      </c>
      <c r="B9" s="11" t="n">
        <v>0.6899999999999999</v>
      </c>
      <c r="C9" s="6" t="n">
        <v>0.165</v>
      </c>
      <c r="D9" s="6" t="n">
        <v>-0.3679</v>
      </c>
    </row>
    <row r="10">
      <c r="A10" t="inlineStr">
        <is>
          <t>Top 15</t>
        </is>
      </c>
      <c r="B10" s="11" t="n">
        <v>0.652</v>
      </c>
      <c r="C10" s="6" t="n">
        <v>0.135</v>
      </c>
      <c r="D10" s="6" t="n">
        <v>-0.3549</v>
      </c>
    </row>
    <row r="11">
      <c r="A11" t="inlineStr">
        <is>
          <t>Top 20</t>
        </is>
      </c>
      <c r="B11" s="11" t="n">
        <v>0.657</v>
      </c>
      <c r="C11" s="6" t="n">
        <v>0.1281</v>
      </c>
      <c r="D11" s="6" t="n">
        <v>-0.3035</v>
      </c>
    </row>
    <row r="12">
      <c r="A12" t="inlineStr">
        <is>
          <t>Límite sectorial 30%</t>
        </is>
      </c>
      <c r="B12" s="11" t="n">
        <v>0.707</v>
      </c>
      <c r="C12" s="6" t="n">
        <v>0.1663</v>
      </c>
      <c r="D12" s="6" t="n">
        <v>-0.3567</v>
      </c>
    </row>
    <row r="13">
      <c r="A13" t="inlineStr">
        <is>
          <t>Sin límite sectorial</t>
        </is>
      </c>
      <c r="B13" s="11" t="n">
        <v>0.742</v>
      </c>
      <c r="C13" s="6" t="n">
        <v>0.1861</v>
      </c>
      <c r="D13" s="6" t="n">
        <v>-0.3395</v>
      </c>
    </row>
    <row r="16">
      <c r="A16" s="4" t="inlineStr">
        <is>
          <t>Low-Volatility</t>
        </is>
      </c>
    </row>
    <row r="17">
      <c r="A17" s="4" t="inlineStr">
        <is>
          <t>Variante</t>
        </is>
      </c>
      <c r="B17" s="4" t="inlineStr">
        <is>
          <t>Sharpe</t>
        </is>
      </c>
      <c r="C17" s="4" t="inlineStr">
        <is>
          <t>CAGR</t>
        </is>
      </c>
      <c r="D17" s="4" t="inlineStr">
        <is>
          <t>Máx. caída</t>
        </is>
      </c>
    </row>
    <row r="18">
      <c r="A18" t="inlineStr">
        <is>
          <t>Regla vigente</t>
        </is>
      </c>
      <c r="B18" s="11" t="n">
        <v>0.778</v>
      </c>
      <c r="C18" s="6" t="n">
        <v>0.1072</v>
      </c>
      <c r="D18" s="6" t="n">
        <v>-0.1785</v>
      </c>
    </row>
    <row r="19">
      <c r="A19" t="inlineStr">
        <is>
          <t>Top 15</t>
        </is>
      </c>
      <c r="B19" s="11" t="n">
        <v>0.764</v>
      </c>
      <c r="C19" s="6" t="n">
        <v>0.105</v>
      </c>
      <c r="D19" s="6" t="n">
        <v>-0.1918</v>
      </c>
    </row>
    <row r="20">
      <c r="A20" t="inlineStr">
        <is>
          <t>Top 20</t>
        </is>
      </c>
      <c r="B20" s="11" t="n">
        <v>0.794</v>
      </c>
      <c r="C20" s="6" t="n">
        <v>0.1099</v>
      </c>
      <c r="D20" s="6" t="n">
        <v>-0.2219</v>
      </c>
    </row>
    <row r="21">
      <c r="A21" t="inlineStr">
        <is>
          <t>Límite sectorial 30%</t>
        </is>
      </c>
      <c r="B21" s="11" t="n">
        <v>0.774</v>
      </c>
      <c r="C21" s="6" t="n">
        <v>0.1065</v>
      </c>
      <c r="D21" s="6" t="n">
        <v>-0.1883</v>
      </c>
    </row>
    <row r="22">
      <c r="A22" t="inlineStr">
        <is>
          <t>Sin límite sectorial</t>
        </is>
      </c>
      <c r="B22" s="11" t="n">
        <v>0.751</v>
      </c>
      <c r="C22" s="6" t="n">
        <v>0.1025</v>
      </c>
      <c r="D22" s="6" t="n">
        <v>-0.1853</v>
      </c>
    </row>
    <row r="25">
      <c r="A25" s="4" t="inlineStr">
        <is>
          <t>Commodities</t>
        </is>
      </c>
    </row>
    <row r="26">
      <c r="A26" s="4" t="inlineStr">
        <is>
          <t>Variante</t>
        </is>
      </c>
      <c r="B26" s="4" t="inlineStr">
        <is>
          <t>Sharpe</t>
        </is>
      </c>
      <c r="C26" s="4" t="inlineStr">
        <is>
          <t>CAGR</t>
        </is>
      </c>
      <c r="D26" s="4" t="inlineStr">
        <is>
          <t>Máx. caída</t>
        </is>
      </c>
    </row>
    <row r="27">
      <c r="A27" t="inlineStr">
        <is>
          <t>Regla vigente (5 ETF)</t>
        </is>
      </c>
      <c r="B27" s="11" t="n">
        <v>0.44</v>
      </c>
      <c r="C27" s="6" t="n">
        <v>0.0795</v>
      </c>
      <c r="D27" s="6" t="n">
        <v>-0.3144</v>
      </c>
    </row>
    <row r="28">
      <c r="A28" t="inlineStr">
        <is>
          <t>Universo original 3 ETF</t>
        </is>
      </c>
      <c r="B28" s="11" t="n">
        <v>0.235</v>
      </c>
      <c r="C28" s="6" t="n">
        <v>0.0408</v>
      </c>
      <c r="D28" s="6" t="n">
        <v>-0.3283</v>
      </c>
    </row>
    <row r="29">
      <c r="A29" t="inlineStr">
        <is>
          <t>Umbrales a la mitad</t>
        </is>
      </c>
      <c r="B29" s="11" t="n">
        <v>0.285</v>
      </c>
      <c r="C29" s="6" t="n">
        <v>0.0524</v>
      </c>
      <c r="D29" s="6" t="n">
        <v>-0.3366</v>
      </c>
    </row>
    <row r="30">
      <c r="A30" t="inlineStr">
        <is>
          <t>Umbrales en cero</t>
        </is>
      </c>
      <c r="B30" s="11" t="n">
        <v>0.233</v>
      </c>
      <c r="C30" s="6" t="n">
        <v>0.0433</v>
      </c>
      <c r="D30" s="6" t="n">
        <v>-0.3727</v>
      </c>
    </row>
    <row r="31">
      <c r="A31" t="inlineStr">
        <is>
          <t>Sin límite de vol.</t>
        </is>
      </c>
      <c r="B31" s="11" t="n">
        <v>0.449</v>
      </c>
      <c r="C31" s="6" t="n">
        <v>0.0809</v>
      </c>
      <c r="D31" s="6" t="n">
        <v>-0.3013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2026-10-19T20:06:18Z</dcterms:created>
  <dcterms:modified xmlns:dcterms="http://purl.org/dc/terms/" xmlns:xsi="http://www.w3.org/2001/XMLSchema-instance" xsi:type="dcterms:W3CDTF">2026-10-19T20:06:18Z</dcterms:modified>
</cp:coreProperties>
</file>